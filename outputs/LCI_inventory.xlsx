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Product_Design" sheetId="3" state="visible" r:id="rId5"/>
    <sheet name="Strategies" sheetId="4" state="visible" r:id="rId6"/>
    <sheet name="Business_Models" sheetId="5" state="visible" r:id="rId7"/>
    <sheet name="Context" sheetId="6" state="visible" r:id="rId8"/>
    <sheet name="Calc" sheetId="7" state="visible" r:id="rId9"/>
    <sheet name="LCI" sheetId="8" state="visible" r:id="rId10"/>
    <sheet name="LCIA_GWP" sheetId="9" state="visible" r:id="rId11"/>
    <sheet name="Cost" sheetId="10" state="visible" r:id="rId12"/>
    <sheet name="KPIs" sheetId="11" state="visible" r:id="rId13"/>
    <sheet name="Validation" sheetId="12" state="visible" r:id="rId14"/>
  </sheets>
  <definedNames>
    <definedName function="false" hidden="true" localSheetId="1" name="_xlnm._FilterDatabase" vbProcedure="false">Parameters!$A$4:$M$34</definedName>
    <definedName function="false" hidden="false" name="bm_dmg" vbProcedure="false">Context!$B$22</definedName>
    <definedName function="false" hidden="false" name="bm_margin" vbProcedure="false">Context!$B$21</definedName>
    <definedName function="false" hidden="false" name="bm_redeploy" vbProcedure="false">Context!$B$20</definedName>
    <definedName function="false" hidden="false" name="collection_rate" vbProcedure="false">Parameters!$C$14</definedName>
    <definedName function="false" hidden="false" name="context_stand_footprint" vbProcedure="false">Parameters!$C$34</definedName>
    <definedName function="false" hidden="false" name="ctx_bm" vbProcedure="false">Context!$B$6</definedName>
    <definedName function="false" hidden="false" name="ctx_credit" vbProcedure="false">Context!$B$10</definedName>
    <definedName function="false" hidden="false" name="ctx_design" vbProcedure="false">Context!$B$5</definedName>
    <definedName function="false" hidden="false" name="ctx_eol_km" vbProcedure="false">Context!$B$9</definedName>
    <definedName function="false" hidden="false" name="ctx_event_km" vbProcedure="false">Context!$B$8</definedName>
    <definedName function="false" hidden="false" name="ctx_n" vbProcedure="false">Context!$B$7</definedName>
    <definedName function="false" hidden="false" name="damage_rate" vbProcedure="false">Parameters!$C$21</definedName>
    <definedName function="false" hidden="false" name="delta_ef" vbProcedure="false">Context!$B$29</definedName>
    <definedName function="false" hidden="false" name="disposal_ef" vbProcedure="false">Parameters!$C$19</definedName>
    <definedName function="false" hidden="false" name="disposal_recovery" vbProcedure="false">Parameters!$C$20</definedName>
    <definedName function="false" hidden="false" name="dist_factor" vbProcedure="false">Context!$B$30</definedName>
    <definedName function="false" hidden="false" name="d_cost" vbProcedure="false">Context!$B$16</definedName>
    <definedName function="false" hidden="false" name="d_disasm" vbProcedure="false">Context!$B$19</definedName>
    <definedName function="false" hidden="false" name="d_dmg" vbProcedure="false">Context!$B$17</definedName>
    <definedName function="false" hidden="false" name="d_fab" vbProcedure="false">Context!$B$15</definedName>
    <definedName function="false" hidden="false" name="d_life" vbProcedure="false">Context!$B$18</definedName>
    <definedName function="false" hidden="false" name="d_mass" vbProcedure="false">Context!$B$13</definedName>
    <definedName function="false" hidden="false" name="d_repair" vbProcedure="false">Context!$B$14</definedName>
    <definedName function="false" hidden="false" name="ef_mix" vbProcedure="false">Context!$B$25</definedName>
    <definedName function="false" hidden="false" name="ef_primary" vbProcedure="false">Parameters!$C$5</definedName>
    <definedName function="false" hidden="false" name="ef_primary_global" vbProcedure="false">Parameters!$C$6</definedName>
    <definedName function="false" hidden="false" name="ef_secondary" vbProcedure="false">Parameters!$C$7</definedName>
    <definedName function="false" hidden="false" name="e_clean" vbProcedure="false">Parameters!$C$22</definedName>
    <definedName function="false" hidden="false" name="e_fab" vbProcedure="false">Parameters!$C$17</definedName>
    <definedName function="false" hidden="false" name="e_repair" vbProcedure="false">Parameters!$C$23</definedName>
    <definedName function="false" hidden="false" name="e_reprocess" vbProcedure="false">Parameters!$C$25</definedName>
    <definedName function="false" hidden="false" name="gate_fee" vbProcedure="false">Parameters!$C$31</definedName>
    <definedName function="false" hidden="false" name="grid_ef" vbProcedure="false">Parameters!$C$8</definedName>
    <definedName function="false" hidden="false" name="handling_cost" vbProcedure="false">Parameters!$C$27</definedName>
    <definedName function="false" hidden="false" name="labour_rate" vbProcedure="false">Parameters!$C$29</definedName>
    <definedName function="false" hidden="false" name="leg_ef" vbProcedure="false">Context!$B$26</definedName>
    <definedName function="false" hidden="false" name="lme_price_usd_t" vbProcedure="false">Parameters!$C$11</definedName>
    <definedName function="false" hidden="false" name="manuf_cost" vbProcedure="false">Parameters!$C$26</definedName>
    <definedName function="false" hidden="false" name="material_loop_ref" vbProcedure="false">Parameters!$C$32</definedName>
    <definedName function="false" hidden="false" name="melt_yield" vbProcedure="false">Parameters!$C$15</definedName>
    <definedName function="false" hidden="false" name="price_kg" vbProcedure="false">Context!$B$27</definedName>
    <definedName function="false" hidden="false" name="recov_yield" vbProcedure="false">Context!$B$28</definedName>
    <definedName function="false" hidden="false" name="recycled_content" vbProcedure="false">Parameters!$C$16</definedName>
    <definedName function="false" hidden="false" name="repair_share" vbProcedure="false">Parameters!$C$24</definedName>
    <definedName function="false" hidden="false" name="scrap_price_ratio" vbProcedure="false">Parameters!$C$13</definedName>
    <definedName function="false" hidden="false" name="sort_energy" vbProcedure="false">Parameters!$C$18</definedName>
    <definedName function="false" hidden="false" name="storage_cost" vbProcedure="false">Parameters!$C$28</definedName>
    <definedName function="false" hidden="false" name="transport_cost" vbProcedure="false">Parameters!$C$30</definedName>
    <definedName function="false" hidden="false" name="transport_ef" vbProcedure="false">Parameters!$C$9</definedName>
    <definedName function="false" hidden="false" name="transport_load_factor" vbProcedure="false">Parameters!$C$10</definedName>
    <definedName function="false" hidden="false" name="usd_eur" vbProcedure="false">Parameters!$C$12</definedName>
    <definedName function="false" hidden="false" name="validation_reuse_vs_recycling" vbProcedure="false">Parameters!$C$33</definedName>
    <definedName function="false" hidden="false" name="w_circularity" vbProcedure="false">KPIs!$D$22</definedName>
    <definedName function="false" hidden="false" name="w_economics" vbProcedure="false">KPIs!$D$23</definedName>
    <definedName function="false" hidden="false" name="w_environment" vbProcedure="false">KPIs!$D$21</definedName>
    <definedName function="false" hidden="false" name="w_feasibility" vbProcedure="false">KPIs!$D$24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<sst xmlns="http://schemas.openxmlformats.org/spreadsheetml/2006/main" count="840" uniqueCount="482">
  <si>
    <t xml:space="preserve">Circular Design Advisor – Life Cycle Inventory (LCI)</t>
  </si>
  <si>
    <t xml:space="preserve">One modular aluminium exhibition-booth panel · five end-of-life / circular strategies · formula-driven</t>
  </si>
  <si>
    <t xml:space="preserve">Goal and scope</t>
  </si>
  <si>
    <t xml:space="preserve">Functional unit</t>
  </si>
  <si>
    <t xml:space="preserve">ONE USE of one panel at one exhibition event (per use). Lifetime burdens are divided by the expected number of uses.</t>
  </si>
  <si>
    <t xml:space="preserve">Reference flow</t>
  </si>
  <si>
    <t xml:space="preserve">1 panel of the selected design (mass from Product_Design), over its expected service life.</t>
  </si>
  <si>
    <t xml:space="preserve">System boundary</t>
  </si>
  <si>
    <t xml:space="preserve">Cradle-to-grave: panel production (metal + fabrication), transport to/from events, cleaning, repair, reprocessing, end-of-life transport, sorting, waste-to-energy; recycling credit (net scrap) or cut-off.</t>
  </si>
  <si>
    <t xml:space="preserve">Impact category</t>
  </si>
  <si>
    <t xml:space="preserve">Climate change (GWP100, kg CO2e) only. Costs are a proxy in EUR.</t>
  </si>
  <si>
    <t xml:space="preserve">Multifunctionality</t>
  </si>
  <si>
    <t xml:space="preserve">Net-scrap method (default): credit only for recovered metal beyond the recycled input share, valued at (EF primary − EF secondary). Cut-off: no credit. Switch on the Context sheet.</t>
  </si>
  <si>
    <t xml:space="preserve">Geography / time</t>
  </si>
  <si>
    <t xml:space="preserve">Europe / Germany, 2023–2025 data (see Parameters).</t>
  </si>
  <si>
    <t xml:space="preserve">Workbook map</t>
  </si>
  <si>
    <t xml:space="preserve">Parameters</t>
  </si>
  <si>
    <t xml:space="preserve">All 30 model parameters with value, range, unit, data type, quality score (1–5), source and URL. Edit column C (blue) to change the model.</t>
  </si>
  <si>
    <t xml:space="preserve">Product_Design / Strategies / Business_Models</t>
  </si>
  <si>
    <t xml:space="preserve">Design archetypes, strategy settings and business-model behaviour (all flagged assumptions).</t>
  </si>
  <si>
    <t xml:space="preserve">Context</t>
  </si>
  <si>
    <t xml:space="preserve">Decision context: design, business model, planned uses, event and end-of-life distances, credit method (yellow cells). Also derived global factors.</t>
  </si>
  <si>
    <t xml:space="preserve">Calc</t>
  </si>
  <si>
    <t xml:space="preserve">Per-strategy intermediate quantities: planned uses, loss probability, expected uses, repair events, recovery yield, credit mass.</t>
  </si>
  <si>
    <t xml:space="preserve">LCI</t>
  </si>
  <si>
    <t xml:space="preserve">THE INVENTORY: every foreground flow (kg, kWh, t·km) per panel life and per functional unit, with an indicative background dataset for Brightway/ecoinvent mapping.</t>
  </si>
  <si>
    <t xml:space="preserve">LCIA_GWP</t>
  </si>
  <si>
    <t xml:space="preserve">LCI per functional unit × emission factor = kg CO2e per use, by flow and by life-cycle stage.</t>
  </si>
  <si>
    <t xml:space="preserve">Cost</t>
  </si>
  <si>
    <t xml:space="preserve">Cost inventory per panel life and per use (EUR, incl. business-model margin).</t>
  </si>
  <si>
    <t xml:space="preserve">KPIs</t>
  </si>
  <si>
    <t xml:space="preserve">Climate, cost, circularity (simplified MCI), material recovery, virgin Al, feasibility, weighted score, rank and recommendation.</t>
  </si>
  <si>
    <t xml:space="preserve">Validation</t>
  </si>
  <si>
    <t xml:space="preserve">Excel KPIs vs Python model (src/cirdesign/model.py) at the default context. All rows should read OK.</t>
  </si>
  <si>
    <t xml:space="preserve">Colour legend</t>
  </si>
  <si>
    <t xml:space="preserve">Blue text</t>
  </si>
  <si>
    <t xml:space="preserve">Hard-coded input – edit these.</t>
  </si>
  <si>
    <t xml:space="preserve">Yellow fill</t>
  </si>
  <si>
    <t xml:space="preserve">Key decision levers (Context sheet).</t>
  </si>
  <si>
    <t xml:space="preserve">Green text</t>
  </si>
  <si>
    <t xml:space="preserve">Link to another sheet.</t>
  </si>
  <si>
    <t xml:space="preserve">Black text</t>
  </si>
  <si>
    <t xml:space="preserve">Formula – do not overwrite.</t>
  </si>
  <si>
    <t xml:space="preserve">Important</t>
  </si>
  <si>
    <t xml:space="preserve">Data status</t>
  </si>
  <si>
    <t xml:space="preserve">Only 6 of the model inputs come from literature or public databases; the rest are author assumptions (type = assumption, quality 2). Results illustrate the method, not a real product. Do not cite the numbers.</t>
  </si>
  <si>
    <t xml:space="preserve">Regenerate</t>
  </si>
  <si>
    <t xml:space="preserve">python scripts/build_lci_workbook.py  (rebuilds this file from data/*.csv; open in Excel to recalculate).</t>
  </si>
  <si>
    <t xml:space="preserve">Source: data/literature_sources.csv. Column C is the value used by the model; edit it to run a scenario. Low/High = literature or assumed range.</t>
  </si>
  <si>
    <t xml:space="preserve">ID (named range)</t>
  </si>
  <si>
    <t xml:space="preserve">Parameter</t>
  </si>
  <si>
    <t xml:space="preserve">Value</t>
  </si>
  <si>
    <t xml:space="preserve">Low</t>
  </si>
  <si>
    <t xml:space="preserve">High</t>
  </si>
  <si>
    <t xml:space="preserve">Unit</t>
  </si>
  <si>
    <t xml:space="preserve">Type</t>
  </si>
  <si>
    <t xml:space="preserve">Used in model</t>
  </si>
  <si>
    <t xml:space="preserve">Quality (1–5)</t>
  </si>
  <si>
    <t xml:space="preserve">Source</t>
  </si>
  <si>
    <t xml:space="preserve">Year</t>
  </si>
  <si>
    <t xml:space="preserve">URL</t>
  </si>
  <si>
    <t xml:space="preserve">Note</t>
  </si>
  <si>
    <t xml:space="preserve">ef_primary</t>
  </si>
  <si>
    <t xml:space="preserve">Primary aluminium, cradle-to-gate (default: European average)</t>
  </si>
  <si>
    <t xml:space="preserve">kg CO2e/kg</t>
  </si>
  <si>
    <t xml:space="preserve">literature</t>
  </si>
  <si>
    <t xml:space="preserve">European Aluminium, Environmental Profile Report 2024 (press release 6 Nov 2024)</t>
  </si>
  <si>
    <t xml:space="preserve">2023</t>
  </si>
  <si>
    <t xml:space="preserve">https://european-aluminium.eu/wp-content/uploads/2024/11/06-11-24-European-Aluminium-Environmental-Profile-Report-launch-PR.pdf</t>
  </si>
  <si>
    <t xml:space="preserve">European primary aluminium 6.3 kg CO2 per kg in 2023 (6.7 in 2015). Range: lower bound from Hydro (hydropower-based regions, below 4); upper bound = IAI global average.</t>
  </si>
  <si>
    <t xml:space="preserve">ef_primary_global</t>
  </si>
  <si>
    <t xml:space="preserve">Primary aluminium, global average</t>
  </si>
  <si>
    <t xml:space="preserve">International Aluminium Institute, GHG emissions intensity release (Dec 2024)</t>
  </si>
  <si>
    <t xml:space="preserve">https://international-aluminium.org/global-aluminium-industry-greenhouse-gas-emissions-intensity-reduction-continues-with-total-emissions-below-2020-peak</t>
  </si>
  <si>
    <t xml:space="preserve">14.8 t CO2e per t primary aluminium in 2023. Used as the upper bound of ef_primary.</t>
  </si>
  <si>
    <t xml:space="preserve">ef_secondary</t>
  </si>
  <si>
    <t xml:space="preserve">Recycled (secondary) aluminium from post-consumer scrap</t>
  </si>
  <si>
    <t xml:space="preserve">Hydro, 'Carbon footprint of recycled aluminium' (via climateaction.org)</t>
  </si>
  <si>
    <t xml:space="preserve">2021</t>
  </si>
  <si>
    <t xml:space="preserve">https://climateaction.org/news/carbon-footprint-of-recycled-aluminium</t>
  </si>
  <si>
    <t xml:space="preserve">Approximately 0.5 t CO2e per t for the recycling process, post-consumer scrap. Range is an assumption.</t>
  </si>
  <si>
    <t xml:space="preserve">grid_ef</t>
  </si>
  <si>
    <t xml:space="preserve">German electricity mix</t>
  </si>
  <si>
    <t xml:space="preserve">kg CO2e/kWh</t>
  </si>
  <si>
    <t xml:space="preserve">database</t>
  </si>
  <si>
    <t xml:space="preserve">Umweltbundesamt (UBA), CO2-Emissionen pro Kilowattstunde Strom 2025 (page dated 23 Mar 2026)</t>
  </si>
  <si>
    <t xml:space="preserve">2025</t>
  </si>
  <si>
    <t xml:space="preserve">https://www.umweltbundesamt.de/themen/co2-emissionen-pro-kilowattstunde-strom-2025-nur</t>
  </si>
  <si>
    <t xml:space="preserve">344 g CO2/kWh for 2025 (estimate); 353 g for 2024 (preliminary). Range lower bound = a decarbonised mix (assumption).</t>
  </si>
  <si>
    <t xml:space="preserve">transport_ef</t>
  </si>
  <si>
    <t xml:space="preserve">Road freight, articulated truck &lt;40 t, diesel, per tonne-km (full load)</t>
  </si>
  <si>
    <t xml:space="preserve">kg CO2e/(t*km)</t>
  </si>
  <si>
    <t xml:space="preserve">GLEC Framework v3.0 default (via Climatiq); upper bound BEIS/DEFRA 2022 rigid HGV 3.5-7.5 t average laden</t>
  </si>
  <si>
    <t xml:space="preserve">https://www.climatiq.io/data/emission-factor/551e7a49-d6c2-4def-9db3-e9e98dc03da4</t>
  </si>
  <si>
    <t xml:space="preserve">Climatiq lists the GLEC factor as deprecated (superseded by a newer release); re-check before real use. Upper bound 0.562 (BEIS 2022, fuel combustion only) represents small partly loaded vehicles.</t>
  </si>
  <si>
    <t xml:space="preserve">transport_load_factor</t>
  </si>
  <si>
    <t xml:space="preserve">Average load factor of exhibition transport</t>
  </si>
  <si>
    <t xml:space="preserve">share</t>
  </si>
  <si>
    <t xml:space="preserve">assumption</t>
  </si>
  <si>
    <t xml:space="preserve">Author assumption</t>
  </si>
  <si>
    <t xml:space="preserve">Panels are rarely shipped in full trucks; effective factor = EF / load factor.</t>
  </si>
  <si>
    <t xml:space="preserve">lme_price_usd_t</t>
  </si>
  <si>
    <t xml:space="preserve">LME aluminium price</t>
  </si>
  <si>
    <t xml:space="preserve">USD/t</t>
  </si>
  <si>
    <t xml:space="preserve">alcircle market report, LME aluminium offer price at October start (about 3,109.5 USD/t)</t>
  </si>
  <si>
    <t xml:space="preserve">https://www.alcircle.com/news/lme-aluminium-offer-price-eases-0-34-to-3-109-5-t-at-october-start-as-stocks-dip-to-240-625t-121420</t>
  </si>
  <si>
    <t xml:space="preserve">Article could not be re-fetched to confirm its year; treat as approximate. Check the LME for a current price.</t>
  </si>
  <si>
    <t xml:space="preserve">usd_eur</t>
  </si>
  <si>
    <t xml:space="preserve">USD to EUR conversion</t>
  </si>
  <si>
    <t xml:space="preserve">EUR/USD</t>
  </si>
  <si>
    <t xml:space="preserve">Fixed conversion for the cost proxy.</t>
  </si>
  <si>
    <t xml:space="preserve">scrap_price_ratio</t>
  </si>
  <si>
    <t xml:space="preserve">Scrap price as share of LME price</t>
  </si>
  <si>
    <t xml:space="preserve">Typical discount of aluminium scrap to LME; not verified against a price series.</t>
  </si>
  <si>
    <t xml:space="preserve">collection_rate</t>
  </si>
  <si>
    <t xml:space="preserve">Collection rate of aluminium at end of life</t>
  </si>
  <si>
    <t xml:space="preserve">European Aluminium, 'Collection of aluminium building products at their end-of-life'</t>
  </si>
  <si>
    <t xml:space="preserve">2004 study</t>
  </si>
  <si>
    <t xml:space="preserve">https://european-aluminium.eu/blog/collection-of-aluminium-building-products-at-their-end-of-life/</t>
  </si>
  <si>
    <t xml:space="preserve">More than 95 % collection in 9 studied buildings; 98.3 % (Germany) and 99.3 % (Netherlands) case studies. Building products, applied here to booth panels as a proxy.</t>
  </si>
  <si>
    <t xml:space="preserve">melt_yield</t>
  </si>
  <si>
    <t xml:space="preserve">Metal yield of remelting</t>
  </si>
  <si>
    <t xml:space="preserve">Share of collected metal that leaves the remelter as usable metal.</t>
  </si>
  <si>
    <t xml:space="preserve">recycled_content</t>
  </si>
  <si>
    <t xml:space="preserve">Recycled content of new panels</t>
  </si>
  <si>
    <t xml:space="preserve">Share of secondary aluminium in new extrusions.</t>
  </si>
  <si>
    <t xml:space="preserve">e_fab</t>
  </si>
  <si>
    <t xml:space="preserve">Fabrication energy (cutting, machining, surface finish)</t>
  </si>
  <si>
    <t xml:space="preserve">kWh/kg</t>
  </si>
  <si>
    <t xml:space="preserve">Electricity per kg of panel; scaled by a design factor.</t>
  </si>
  <si>
    <t xml:space="preserve">sort_energy</t>
  </si>
  <si>
    <t xml:space="preserve">Dismantling and sorting energy before remelting</t>
  </si>
  <si>
    <t xml:space="preserve">disposal_ef</t>
  </si>
  <si>
    <t xml:space="preserve">Waste-to-energy process burden for aluminium</t>
  </si>
  <si>
    <t xml:space="preserve">disposal_recovery</t>
  </si>
  <si>
    <t xml:space="preserve">Metal recovered from incineration bottom ash</t>
  </si>
  <si>
    <t xml:space="preserve">Under net-scrap crediting this earns no credit when it is below the recycled content.</t>
  </si>
  <si>
    <t xml:space="preserve">damage_rate</t>
  </si>
  <si>
    <t xml:space="preserve">Panel loss rate per event from handling damage</t>
  </si>
  <si>
    <t xml:space="preserve">probability per event</t>
  </si>
  <si>
    <t xml:space="preserve">Main uncertainty: no published damage rate for exhibition panels was found.</t>
  </si>
  <si>
    <t xml:space="preserve">e_clean</t>
  </si>
  <si>
    <t xml:space="preserve">Cleaning and inspection energy per reuse event</t>
  </si>
  <si>
    <t xml:space="preserve">e_repair</t>
  </si>
  <si>
    <t xml:space="preserve">Repair energy per repair</t>
  </si>
  <si>
    <t xml:space="preserve">repair_share</t>
  </si>
  <si>
    <t xml:space="preserve">Replacement material per repair (share of mass)</t>
  </si>
  <si>
    <t xml:space="preserve">e_reprocess</t>
  </si>
  <si>
    <t xml:space="preserve">Reprocessing energy per event (stripping, re-finishing)</t>
  </si>
  <si>
    <t xml:space="preserve">manuf_cost</t>
  </si>
  <si>
    <t xml:space="preserve">Manufacturing cost on top of metal</t>
  </si>
  <si>
    <t xml:space="preserve">EUR/kg</t>
  </si>
  <si>
    <t xml:space="preserve">Extrusion, machining and finishing.</t>
  </si>
  <si>
    <t xml:space="preserve">handling_cost</t>
  </si>
  <si>
    <t xml:space="preserve">Set-up and dismantling labour per event</t>
  </si>
  <si>
    <t xml:space="preserve">EUR/panel/event</t>
  </si>
  <si>
    <t xml:space="preserve">storage_cost</t>
  </si>
  <si>
    <t xml:space="preserve">Storage per panel between events</t>
  </si>
  <si>
    <t xml:space="preserve">labour_rate</t>
  </si>
  <si>
    <t xml:space="preserve">Workshop labour rate</t>
  </si>
  <si>
    <t xml:space="preserve">EUR/h</t>
  </si>
  <si>
    <t xml:space="preserve">transport_cost</t>
  </si>
  <si>
    <t xml:space="preserve">Freight cost per tonne-km</t>
  </si>
  <si>
    <t xml:space="preserve">EUR/(t*km)</t>
  </si>
  <si>
    <t xml:space="preserve">gate_fee</t>
  </si>
  <si>
    <t xml:space="preserve">Disposal gate fee</t>
  </si>
  <si>
    <t xml:space="preserve">material_loop_ref</t>
  </si>
  <si>
    <t xml:space="preserve">Reference share of booth mass that can be materially recovered</t>
  </si>
  <si>
    <t xml:space="preserve">AUMA, Guide Resource Management for trade fairs, section 7.1, p. 40</t>
  </si>
  <si>
    <t xml:space="preserve">2026</t>
  </si>
  <si>
    <t xml:space="preserve">https://www.auma.de/fileadmin/publikationen/guide-resource-management-auma-fwd-2026-v1-0.pdf</t>
  </si>
  <si>
    <t xml:space="preserve">'A reference value here is 70 %.' Used as a benchmark line for material recovery.</t>
  </si>
  <si>
    <t xml:space="preserve">validation_reuse_vs_recycling</t>
  </si>
  <si>
    <t xml:space="preserve">Published reduction of net GWP, direct reuse vs recycling (aluminium portal-frame tent)</t>
  </si>
  <si>
    <t xml:space="preserve">Skejic, Antic, Carevic, Gkantou, Buildings 16(13):2610 (DOI 10.3390/buildings16132610)</t>
  </si>
  <si>
    <t xml:space="preserve">https://www.citedrive.com/en/discovery/reuse-of-aluminium-structural-components-in-circular-construction-a-life-cycle-assessment-of-a-portal-frame-tent-structure/</t>
  </si>
  <si>
    <t xml:space="preserve">'Direct reuse lowers the net global warming potential by about 22 % relative to recycling.' Different system (EN 15804, modules A-D), so used only as a plausibility check.</t>
  </si>
  <si>
    <t xml:space="preserve">context_stand_footprint</t>
  </si>
  <si>
    <t xml:space="preserve">Footprint of a reusable zero-waste exhibition stand (context)</t>
  </si>
  <si>
    <t xml:space="preserve">t CO2e</t>
  </si>
  <si>
    <t xml:space="preserve">ISLA, 'Measuring our reusable, zero waste exhibition stand' (company blog)</t>
  </si>
  <si>
    <t xml:space="preserve">2024</t>
  </si>
  <si>
    <t xml:space="preserve">https://weareisla.co.uk/2024/08/20/measuring-our-reusable-zero-waste-exhibition-stand/</t>
  </si>
  <si>
    <t xml:space="preserve">1.4 tonnes CO2e from production to arrival at the event. Context only; not used in the model.</t>
  </si>
  <si>
    <t xml:space="preserve">design</t>
  </si>
  <si>
    <t xml:space="preserve">name</t>
  </si>
  <si>
    <t xml:space="preserve">mass_kg</t>
  </si>
  <si>
    <t xml:space="preserve">repairability</t>
  </si>
  <si>
    <t xml:space="preserve">fab_factor</t>
  </si>
  <si>
    <t xml:space="preserve">cost_factor</t>
  </si>
  <si>
    <t xml:space="preserve">damage_mult</t>
  </si>
  <si>
    <t xml:space="preserve">technical_lifetime_events</t>
  </si>
  <si>
    <t xml:space="preserve">disassembly</t>
  </si>
  <si>
    <t xml:space="preserve">note</t>
  </si>
  <si>
    <t xml:space="preserve">A</t>
  </si>
  <si>
    <t xml:space="preserve">Welded frame panel</t>
  </si>
  <si>
    <t xml:space="preserve">Design archetype (assumed): cheap, hard to repair</t>
  </si>
  <si>
    <t xml:space="preserve">B</t>
  </si>
  <si>
    <t xml:space="preserve">Screwed modular panel</t>
  </si>
  <si>
    <t xml:space="preserve">Design archetype (assumed): bolted joints, replaceable parts</t>
  </si>
  <si>
    <t xml:space="preserve">C</t>
  </si>
  <si>
    <t xml:space="preserve">Clip-fit lightweight panel</t>
  </si>
  <si>
    <t xml:space="preserve">Design archetype (assumed): light but more fragile</t>
  </si>
  <si>
    <t xml:space="preserve">Source: data/product_data.csv. Design archetypes are assumptions.</t>
  </si>
  <si>
    <t xml:space="preserve">strategy</t>
  </si>
  <si>
    <t xml:space="preserve">label</t>
  </si>
  <si>
    <t xml:space="preserve">family</t>
  </si>
  <si>
    <t xml:space="preserve">feasibility_base</t>
  </si>
  <si>
    <t xml:space="preserve">clean_kwh_per_kg</t>
  </si>
  <si>
    <t xml:space="preserve">repair</t>
  </si>
  <si>
    <t xml:space="preserve">reprocess</t>
  </si>
  <si>
    <t xml:space="preserve">damage_factor</t>
  </si>
  <si>
    <t xml:space="preserve">labour_h</t>
  </si>
  <si>
    <t xml:space="preserve">reuse</t>
  </si>
  <si>
    <t xml:space="preserve">Direct reuse</t>
  </si>
  <si>
    <t xml:space="preserve">Inspect, clean, redeploy</t>
  </si>
  <si>
    <t xml:space="preserve">Repair and reuse</t>
  </si>
  <si>
    <t xml:space="preserve">Damaged repairable panels are fixed, others scrapped</t>
  </si>
  <si>
    <t xml:space="preserve">reprocessing</t>
  </si>
  <si>
    <t xml:space="preserve">Reprocessing</t>
  </si>
  <si>
    <t xml:space="preserve">Strip and re-finish each time; fewer cumulative damage losses (assumed)</t>
  </si>
  <si>
    <t xml:space="preserve">recycling</t>
  </si>
  <si>
    <t xml:space="preserve">Recycling</t>
  </si>
  <si>
    <t xml:space="preserve">single</t>
  </si>
  <si>
    <t xml:space="preserve">Single use then remelting</t>
  </si>
  <si>
    <t xml:space="preserve">disposal</t>
  </si>
  <si>
    <t xml:space="preserve">Disposal</t>
  </si>
  <si>
    <t xml:space="preserve">Single use then waste-to-energy</t>
  </si>
  <si>
    <t xml:space="preserve">Source: data/strategies.csv. repair / reprocess are 0/1 switches. Row order fixes the strategy columns on every other sheet.</t>
  </si>
  <si>
    <t xml:space="preserve">kind</t>
  </si>
  <si>
    <t xml:space="preserve">redeploy</t>
  </si>
  <si>
    <t xml:space="preserve">margin</t>
  </si>
  <si>
    <t xml:space="preserve">sale</t>
  </si>
  <si>
    <t xml:space="preserve">business_model</t>
  </si>
  <si>
    <t xml:space="preserve">Sale</t>
  </si>
  <si>
    <t xml:space="preserve">Owner decides whether to redeploy (assumed redeployment probability per event)</t>
  </si>
  <si>
    <t xml:space="preserve">rental</t>
  </si>
  <si>
    <t xml:space="preserve">Rental</t>
  </si>
  <si>
    <t xml:space="preserve">Provider retains ownership and collects panels (assumed)</t>
  </si>
  <si>
    <t xml:space="preserve">paas</t>
  </si>
  <si>
    <t xml:space="preserve">Product-as-a-service</t>
  </si>
  <si>
    <t xml:space="preserve">Provider maintains panels; fewer handling losses (assumed)</t>
  </si>
  <si>
    <t xml:space="preserve">Source: data/business_models.csv (all assumed).</t>
  </si>
  <si>
    <t xml:space="preserve">Decision context and derived global factors</t>
  </si>
  <si>
    <t xml:space="preserve">Yellow cells are the levers. Defaults reproduce the README baseline (design B, rental, 6 planned uses, 400 km).</t>
  </si>
  <si>
    <t xml:space="preserve">Setting</t>
  </si>
  <si>
    <t xml:space="preserve">Panel design</t>
  </si>
  <si>
    <t xml:space="preserve">A, B or C (Product_Design)</t>
  </si>
  <si>
    <t xml:space="preserve">Business model</t>
  </si>
  <si>
    <t xml:space="preserve">sale, rental or paas (Business_Models)</t>
  </si>
  <si>
    <t xml:space="preserve">Planned uses (reuse strategies)</t>
  </si>
  <si>
    <t xml:space="preserve">events</t>
  </si>
  <si>
    <t xml:space="preserve">Capped at the design's technical lifetime</t>
  </si>
  <si>
    <t xml:space="preserve">Distance to each event (one way)</t>
  </si>
  <si>
    <t xml:space="preserve">km</t>
  </si>
  <si>
    <t xml:space="preserve">Reuse routes travel out and back each event</t>
  </si>
  <si>
    <t xml:space="preserve">Distance to end-of-life facility</t>
  </si>
  <si>
    <t xml:space="preserve">Recycling credit method</t>
  </si>
  <si>
    <t xml:space="preserve">net_scrap</t>
  </si>
  <si>
    <t xml:space="preserve">net_scrap or cut_off</t>
  </si>
  <si>
    <t xml:space="preserve">Selected design and business-model attributes</t>
  </si>
  <si>
    <t xml:space="preserve">Panel mass</t>
  </si>
  <si>
    <t xml:space="preserve">kg</t>
  </si>
  <si>
    <t xml:space="preserve">Repairability</t>
  </si>
  <si>
    <t xml:space="preserve">Fabrication energy factor</t>
  </si>
  <si>
    <t xml:space="preserve">×</t>
  </si>
  <si>
    <t xml:space="preserve">Manufacturing cost factor</t>
  </si>
  <si>
    <t xml:space="preserve">Design damage multiplier</t>
  </si>
  <si>
    <t xml:space="preserve">Technical lifetime</t>
  </si>
  <si>
    <t xml:space="preserve">Disassembly score</t>
  </si>
  <si>
    <t xml:space="preserve">Redeployment probability per event</t>
  </si>
  <si>
    <t xml:space="preserve">Business-model margin</t>
  </si>
  <si>
    <t xml:space="preserve">Business-model damage multiplier</t>
  </si>
  <si>
    <t xml:space="preserve">Derived global factors</t>
  </si>
  <si>
    <t xml:space="preserve">Aluminium input mix factor</t>
  </si>
  <si>
    <t xml:space="preserve">Recycled-content weighted mix of primary and secondary Al</t>
  </si>
  <si>
    <t xml:space="preserve">Effective freight factor</t>
  </si>
  <si>
    <t xml:space="preserve">kg CO2e/(t·km)</t>
  </si>
  <si>
    <t xml:space="preserve">Full-load factor divided by load factor</t>
  </si>
  <si>
    <t xml:space="preserve">Aluminium price</t>
  </si>
  <si>
    <t xml:space="preserve">LME price converted to EUR</t>
  </si>
  <si>
    <t xml:space="preserve">Recovery yield, recycling route</t>
  </si>
  <si>
    <t xml:space="preserve">Collection × remelting yield</t>
  </si>
  <si>
    <t xml:space="preserve">Credit factor (avoided primary)</t>
  </si>
  <si>
    <t xml:space="preserve">Burden avoided per kg of secondary Al that replaces primary</t>
  </si>
  <si>
    <t xml:space="preserve">Distance penalty (feasibility)</t>
  </si>
  <si>
    <t xml:space="preserve">Linear penalty, zero at 2,000 km</t>
  </si>
  <si>
    <t xml:space="preserve">Per-strategy intermediate quantities</t>
  </si>
  <si>
    <t xml:space="preserve">Life-cycle logic per strategy (mirrors model.evaluate). Columns D:H follow the Strategies sheet order.</t>
  </si>
  <si>
    <t xml:space="preserve">Quantity</t>
  </si>
  <si>
    <t xml:space="preserve">Formula / note</t>
  </si>
  <si>
    <t xml:space="preserve">Basis / source</t>
  </si>
  <si>
    <t xml:space="preserve">Strategy settings (from Strategies sheet)</t>
  </si>
  <si>
    <t xml:space="preserve">Single-use route (1 = yes)</t>
  </si>
  <si>
    <t xml:space="preserve">flag</t>
  </si>
  <si>
    <t xml:space="preserve">family = single</t>
  </si>
  <si>
    <t xml:space="preserve">Repair switch</t>
  </si>
  <si>
    <t xml:space="preserve">Reprocessing switch</t>
  </si>
  <si>
    <t xml:space="preserve">Strategy damage factor</t>
  </si>
  <si>
    <t xml:space="preserve">Workshop labour per event</t>
  </si>
  <si>
    <t xml:space="preserve">h</t>
  </si>
  <si>
    <t xml:space="preserve">Base feasibility</t>
  </si>
  <si>
    <t xml:space="preserve">Disposal route (1 = yes)</t>
  </si>
  <si>
    <t xml:space="preserve">Service life</t>
  </si>
  <si>
    <t xml:space="preserve">Planned uses N</t>
  </si>
  <si>
    <t xml:space="preserve">min(planned, technical lifetime)</t>
  </si>
  <si>
    <t xml:space="preserve">Damage probability per event</t>
  </si>
  <si>
    <t xml:space="preserve">damage_rate × design × business model × strategy</t>
  </si>
  <si>
    <t xml:space="preserve">Damage that ends the panel's life</t>
  </si>
  <si>
    <t xml:space="preserve">repairable damage is fixed</t>
  </si>
  <si>
    <t xml:space="preserve">Loss probability per event</t>
  </si>
  <si>
    <t xml:space="preserve">damage loss or not redeployed</t>
  </si>
  <si>
    <t xml:space="preserve">Expected uses U</t>
  </si>
  <si>
    <t xml:space="preserve">uses</t>
  </si>
  <si>
    <t xml:space="preserve">Σ_{k=0..N-1} (1-p)^k</t>
  </si>
  <si>
    <t xml:space="preserve">Geometric survival over N planned events</t>
  </si>
  <si>
    <t xml:space="preserve">Reuse cycles (U − 1)</t>
  </si>
  <si>
    <t xml:space="preserve">cycles</t>
  </si>
  <si>
    <t xml:space="preserve">Repairs per event</t>
  </si>
  <si>
    <t xml:space="preserve">repairs/event</t>
  </si>
  <si>
    <t xml:space="preserve">Freight legs per event</t>
  </si>
  <si>
    <t xml:space="preserve">legs</t>
  </si>
  <si>
    <t xml:space="preserve">reuse: out and back</t>
  </si>
  <si>
    <t xml:space="preserve">End of life</t>
  </si>
  <si>
    <t xml:space="preserve">Material recovery yield</t>
  </si>
  <si>
    <t xml:space="preserve">bottom-ash recovery for disposal</t>
  </si>
  <si>
    <t xml:space="preserve">Credited secondary metal</t>
  </si>
  <si>
    <t xml:space="preserve">net scrap: recovered beyond recycled input</t>
  </si>
  <si>
    <t xml:space="preserve">Avoids double counting recycled input and EoL credit</t>
  </si>
  <si>
    <t xml:space="preserve">Life Cycle Inventory – foreground flows</t>
  </si>
  <si>
    <t xml:space="preserve">Amounts per panel life (rows 'per life') and per functional unit = one use (rows 'per FU'). Background datasets are indicative suggestions for Brightway/ecoinvent mapping – verify before use.</t>
  </si>
  <si>
    <t xml:space="preserve">Flow</t>
  </si>
  <si>
    <t xml:space="preserve">Indicative background dataset (ecoinvent 3.x, verify)</t>
  </si>
  <si>
    <t xml:space="preserve">Per panel life (reference flow = 1 panel)</t>
  </si>
  <si>
    <t xml:space="preserve">A. Production (panel manufacture)</t>
  </si>
  <si>
    <t xml:space="preserve">Primary aluminium, ingot</t>
  </si>
  <si>
    <t xml:space="preserve">m × (1 − recycled content)</t>
  </si>
  <si>
    <t xml:space="preserve">market for aluminium, primary, ingot | IAI Area, EU27 &amp; EFTA</t>
  </si>
  <si>
    <t xml:space="preserve">Secondary aluminium (post-consumer scrap)</t>
  </si>
  <si>
    <t xml:space="preserve">m × recycled content</t>
  </si>
  <si>
    <t xml:space="preserve">treatment of aluminium scrap, post-consumer, prepared for recycling, at remelter | RER</t>
  </si>
  <si>
    <t xml:space="preserve">Electricity, fabrication (cut, machine, finish)</t>
  </si>
  <si>
    <t xml:space="preserve">kWh</t>
  </si>
  <si>
    <t xml:space="preserve">m × e_fab × design factor</t>
  </si>
  <si>
    <t xml:space="preserve">market for electricity, low voltage | DE</t>
  </si>
  <si>
    <t xml:space="preserve">B. Use phase (events, maintenance)</t>
  </si>
  <si>
    <t xml:space="preserve">Road freight to and from events</t>
  </si>
  <si>
    <t xml:space="preserve">t·km</t>
  </si>
  <si>
    <t xml:space="preserve">U × legs × m/1000 × km</t>
  </si>
  <si>
    <t xml:space="preserve">market for transport, freight, lorry &gt;32 metric ton, EURO6 | RER</t>
  </si>
  <si>
    <t xml:space="preserve">Electricity, cleaning and inspection</t>
  </si>
  <si>
    <t xml:space="preserve">reuse routes, every event</t>
  </si>
  <si>
    <t xml:space="preserve">Electricity, reprocessing (strip, re-finish)</t>
  </si>
  <si>
    <t xml:space="preserve">reprocessing route only</t>
  </si>
  <si>
    <t xml:space="preserve">Electricity, repair</t>
  </si>
  <si>
    <t xml:space="preserve">repair route only</t>
  </si>
  <si>
    <t xml:space="preserve">Repair parts, primary aluminium</t>
  </si>
  <si>
    <t xml:space="preserve">replacement share × mass</t>
  </si>
  <si>
    <t xml:space="preserve">Repair parts, secondary aluminium</t>
  </si>
  <si>
    <t xml:space="preserve">C. End of life</t>
  </si>
  <si>
    <t xml:space="preserve">Road freight to end-of-life facility</t>
  </si>
  <si>
    <t xml:space="preserve">m/1000 × km</t>
  </si>
  <si>
    <t xml:space="preserve">Electricity, dismantling and sorting</t>
  </si>
  <si>
    <t xml:space="preserve">not for disposal</t>
  </si>
  <si>
    <t xml:space="preserve">Waste-to-energy treatment of aluminium</t>
  </si>
  <si>
    <t xml:space="preserve">disposal route only</t>
  </si>
  <si>
    <t xml:space="preserve">treatment of waste aluminium, municipal incineration | CH</t>
  </si>
  <si>
    <t xml:space="preserve">D. Avoided burden (credit)</t>
  </si>
  <si>
    <t xml:space="preserve">Avoided primary aluminium (substituted by recovered metal)</t>
  </si>
  <si>
    <t xml:space="preserve">negative = avoided; 0 under cut-off</t>
  </si>
  <si>
    <t xml:space="preserve">−(primary ingot − secondary) | system expansion</t>
  </si>
  <si>
    <t xml:space="preserve">E. Outputs and memo flows (no direct GWP)</t>
  </si>
  <si>
    <t xml:space="preserve">Aluminium recovered to remelting / bottom-ash recovery</t>
  </si>
  <si>
    <t xml:space="preserve">m × recovery yield</t>
  </si>
  <si>
    <t xml:space="preserve">output to recycling</t>
  </si>
  <si>
    <t xml:space="preserve">Aluminium lost (slag, residues, uncollected)</t>
  </si>
  <si>
    <t xml:space="preserve">m × (1 − yield)</t>
  </si>
  <si>
    <t xml:space="preserve">output to waste</t>
  </si>
  <si>
    <t xml:space="preserve">Panel discarded at end of life</t>
  </si>
  <si>
    <t xml:space="preserve">one panel</t>
  </si>
  <si>
    <t xml:space="preserve">reference flow mass</t>
  </si>
  <si>
    <t xml:space="preserve">Functional units delivered (expected uses U)</t>
  </si>
  <si>
    <t xml:space="preserve">link to Calc</t>
  </si>
  <si>
    <t xml:space="preserve">Per functional unit (one use of one panel) = per life ÷ U</t>
  </si>
  <si>
    <t xml:space="preserve">per life ÷ U</t>
  </si>
  <si>
    <t xml:space="preserve">Mass balance check: recovered + lost = panel mass for every strategy (see row below).</t>
  </si>
  <si>
    <t xml:space="preserve">Mass balance (recovered + lost − panel)</t>
  </si>
  <si>
    <t xml:space="preserve">should be 0</t>
  </si>
  <si>
    <t xml:space="preserve">Impact assessment – climate change (GWP100)</t>
  </si>
  <si>
    <t xml:space="preserve">kg CO2e per functional unit (one use) = LCI per FU × emission factor. EF column links to Parameters / Context.</t>
  </si>
  <si>
    <t xml:space="preserve">Emission factor (kg CO2e/unit)</t>
  </si>
  <si>
    <t xml:space="preserve">GWP by flow (kg CO2e per use)</t>
  </si>
  <si>
    <t xml:space="preserve">kg CO2e</t>
  </si>
  <si>
    <t xml:space="preserve">LCI per FU × ef_primary</t>
  </si>
  <si>
    <t xml:space="preserve">LCI per FU × ef_secondary</t>
  </si>
  <si>
    <t xml:space="preserve">LCI per FU × grid_ef</t>
  </si>
  <si>
    <t xml:space="preserve">LCI per FU × leg_ef</t>
  </si>
  <si>
    <t xml:space="preserve">LCI per FU × disposal_ef</t>
  </si>
  <si>
    <t xml:space="preserve">LCI per FU × delta_ef</t>
  </si>
  <si>
    <t xml:space="preserve">GWP by life-cycle stage (kg CO2e per use)</t>
  </si>
  <si>
    <t xml:space="preserve">Panel production</t>
  </si>
  <si>
    <t xml:space="preserve">sum of stage flows</t>
  </si>
  <si>
    <t xml:space="preserve">Use phase (transport, cleaning, repair, reprocessing)</t>
  </si>
  <si>
    <t xml:space="preserve">End-of-life processes</t>
  </si>
  <si>
    <t xml:space="preserve">Recycling credit</t>
  </si>
  <si>
    <t xml:space="preserve">Total climate impact per use</t>
  </si>
  <si>
    <t xml:space="preserve">kg CO2e/use</t>
  </si>
  <si>
    <t xml:space="preserve">Total climate impact per panel life</t>
  </si>
  <si>
    <t xml:space="preserve">Stage shares of gross burden (excl. credit)</t>
  </si>
  <si>
    <t xml:space="preserve">Cost inventory (EUR proxy)</t>
  </si>
  <si>
    <t xml:space="preserve">Per panel life; negative = revenue. Per-use cost includes the business-model margin.</t>
  </si>
  <si>
    <t xml:space="preserve">Cost item</t>
  </si>
  <si>
    <t xml:space="preserve">Per panel life (EUR)</t>
  </si>
  <si>
    <t xml:space="preserve">Panel purchase (metal + manufacturing)</t>
  </si>
  <si>
    <t xml:space="preserve">EUR</t>
  </si>
  <si>
    <t xml:space="preserve">m × (Al price + manuf. cost × factor)</t>
  </si>
  <si>
    <t xml:space="preserve">Freight to and from events</t>
  </si>
  <si>
    <t xml:space="preserve">Set-up and dismantling labour</t>
  </si>
  <si>
    <t xml:space="preserve">Storage between events</t>
  </si>
  <si>
    <t xml:space="preserve">reuse routes</t>
  </si>
  <si>
    <t xml:space="preserve">Workshop labour (inspect, repair, reprocess)</t>
  </si>
  <si>
    <t xml:space="preserve">repair: labour per repair + 0.05 h inspection</t>
  </si>
  <si>
    <t xml:space="preserve">Repair material</t>
  </si>
  <si>
    <t xml:space="preserve">Freight to end-of-life</t>
  </si>
  <si>
    <t xml:space="preserve">Scrap revenue</t>
  </si>
  <si>
    <t xml:space="preserve">revenue (negative)</t>
  </si>
  <si>
    <t xml:space="preserve">Total cost per panel life</t>
  </si>
  <si>
    <t xml:space="preserve">Cost per use (incl. margin)</t>
  </si>
  <si>
    <t xml:space="preserve">EUR/use</t>
  </si>
  <si>
    <t xml:space="preserve">Circularity and sustainability KPIs</t>
  </si>
  <si>
    <t xml:space="preserve">All values per use unless stated. Weighted score = 0.50 environment + 0.25 circularity + 0.15 economics + 0.10 feasibility (edit weights below).</t>
  </si>
  <si>
    <t xml:space="preserve">KPI</t>
  </si>
  <si>
    <t xml:space="preserve">Core KPIs</t>
  </si>
  <si>
    <t xml:space="preserve">Expected uses</t>
  </si>
  <si>
    <t xml:space="preserve">Reuse cycles</t>
  </si>
  <si>
    <t xml:space="preserve">Climate impact per use</t>
  </si>
  <si>
    <t xml:space="preserve">from LCIA_GWP</t>
  </si>
  <si>
    <t xml:space="preserve">Cost per use</t>
  </si>
  <si>
    <t xml:space="preserve">from Cost</t>
  </si>
  <si>
    <t xml:space="preserve">Virgin feedstock V</t>
  </si>
  <si>
    <t xml:space="preserve">MCI input</t>
  </si>
  <si>
    <t xml:space="preserve">Unrecoverable waste W</t>
  </si>
  <si>
    <t xml:space="preserve">Linear flow index LFI</t>
  </si>
  <si>
    <t xml:space="preserve">–</t>
  </si>
  <si>
    <t xml:space="preserve">(V + W) / 2M</t>
  </si>
  <si>
    <t xml:space="preserve">Circularity (simplified MCI)</t>
  </si>
  <si>
    <t xml:space="preserve">0–1</t>
  </si>
  <si>
    <t xml:space="preserve">1 − LFI × 0.9 / utility; utility = U</t>
  </si>
  <si>
    <t xml:space="preserve">Ellen MacArthur Foundation (2015) MCI, simplified: utility = expected uses</t>
  </si>
  <si>
    <t xml:space="preserve">Material recovery</t>
  </si>
  <si>
    <t xml:space="preserve">Net virgin aluminium per use</t>
  </si>
  <si>
    <t xml:space="preserve">kg/use</t>
  </si>
  <si>
    <t xml:space="preserve">Design suitability</t>
  </si>
  <si>
    <t xml:space="preserve">Organisational reliability</t>
  </si>
  <si>
    <t xml:space="preserve">Feasibility</t>
  </si>
  <si>
    <t xml:space="preserve">base × suitability × distance × organisation</t>
  </si>
  <si>
    <t xml:space="preserve">Weights (edit)</t>
  </si>
  <si>
    <t xml:space="preserve">Weight – environment</t>
  </si>
  <si>
    <t xml:space="preserve">Weight – circularity</t>
  </si>
  <si>
    <t xml:space="preserve">Weight – economics</t>
  </si>
  <si>
    <t xml:space="preserve">Weight – feasibility</t>
  </si>
  <si>
    <t xml:space="preserve">Normalised criteria and weighted score</t>
  </si>
  <si>
    <t xml:space="preserve">Environment (min–max, lower GWP better)</t>
  </si>
  <si>
    <t xml:space="preserve">Circularity</t>
  </si>
  <si>
    <t xml:space="preserve">Economics (min–max, lower cost better)</t>
  </si>
  <si>
    <t xml:space="preserve">Weighted score</t>
  </si>
  <si>
    <t xml:space="preserve">Rank</t>
  </si>
  <si>
    <t xml:space="preserve">#</t>
  </si>
  <si>
    <t xml:space="preserve">Recommended strategy (highest score)</t>
  </si>
  <si>
    <t xml:space="preserve">Lowest climate impact per use</t>
  </si>
  <si>
    <t xml:space="preserve">Validation against the Python model</t>
  </si>
  <si>
    <t xml:space="preserve">Reference = src/cirdesign/model.py evaluated at the default context B/rental/6 uses/400 km/net_scrap when this file was built. If you change Context or Parameters the reference no longer applies.</t>
  </si>
  <si>
    <t xml:space="preserve">Strategy</t>
  </si>
  <si>
    <t xml:space="preserve">Python reference</t>
  </si>
  <si>
    <t xml:space="preserve">Excel</t>
  </si>
  <si>
    <t xml:space="preserve">Abs. difference</t>
  </si>
  <si>
    <t xml:space="preserve">Status</t>
  </si>
  <si>
    <t xml:space="preserve">Climate per use (kg CO2e)</t>
  </si>
  <si>
    <t xml:space="preserve">Cost per use (EUR)</t>
  </si>
  <si>
    <t xml:space="preserve">Circularity (MCI)</t>
  </si>
  <si>
    <t xml:space="preserve">Virgin Al per use (kg)</t>
  </si>
  <si>
    <t xml:space="preserve">Checks passing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</si>
</sst>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General"/>
    <numFmt numFmtId="167" formatCode="#,##0.00"/>
    <numFmt numFmtId="168" formatCode="#,##0.0000"/>
    <numFmt numFmtId="169" formatCode="0"/>
    <numFmt numFmtId="170" formatCode="#,##0.00;\(#,##0.00\);\-"/>
    <numFmt numFmtId="171" formatCode="0.0%;\(0.0%\);\-"/>
    <numFmt numFmtId="172" formatCode="#,##0.000;\(#,##0.000\);\-"/>
    <numFmt numFmtId="173" formatCode="0.0000"/>
    <numFmt numFmtId="174" formatCode="0.000000"/>
    <numFmt numFmtId="175" formatCode="\€#,##0.00;&quot;(€&quot;#,##0.00\);\-"/>
    <numFmt numFmtId="176" formatCode="0.000"/>
    <numFmt numFmtId="177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EDEDED"/>
      </patternFill>
    </fill>
    <fill>
      <patternFill patternType="solid">
        <fgColor rgb="FFEDEDED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7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</row>
    <row r="7" customFormat="false" ht="23.85" hidden="false" customHeight="false" outlineLevel="0" collapsed="false">
      <c r="A7" s="6" t="s">
        <v>7</v>
      </c>
      <c r="B7" s="7" t="s">
        <v>8</v>
      </c>
    </row>
    <row r="8" customFormat="false" ht="15" hidden="false" customHeight="false" outlineLevel="0" collapsed="false">
      <c r="A8" s="6" t="s">
        <v>9</v>
      </c>
      <c r="B8" s="7" t="s">
        <v>10</v>
      </c>
    </row>
    <row r="9" customFormat="false" ht="23.85" hidden="false" customHeight="false" outlineLevel="0" collapsed="false">
      <c r="A9" s="6" t="s">
        <v>11</v>
      </c>
      <c r="B9" s="7" t="s">
        <v>12</v>
      </c>
    </row>
    <row r="10" customFormat="false" ht="15" hidden="false" customHeight="false" outlineLevel="0" collapsed="false">
      <c r="A10" s="6" t="s">
        <v>13</v>
      </c>
      <c r="B10" s="7" t="s">
        <v>14</v>
      </c>
    </row>
    <row r="11" customFormat="false" ht="15" hidden="false" customHeight="false" outlineLevel="0" collapsed="false">
      <c r="A11" s="6"/>
      <c r="B11" s="7"/>
    </row>
    <row r="12" customFormat="false" ht="15" hidden="false" customHeight="false" outlineLevel="0" collapsed="false">
      <c r="A12" s="4" t="s">
        <v>15</v>
      </c>
      <c r="B12" s="5"/>
    </row>
    <row r="13" customFormat="false" ht="15" hidden="false" customHeight="false" outlineLevel="0" collapsed="false">
      <c r="A13" s="6" t="s">
        <v>16</v>
      </c>
      <c r="B13" s="7" t="s">
        <v>17</v>
      </c>
    </row>
    <row r="14" customFormat="false" ht="15" hidden="false" customHeight="false" outlineLevel="0" collapsed="false">
      <c r="A14" s="6" t="s">
        <v>18</v>
      </c>
      <c r="B14" s="7" t="s">
        <v>19</v>
      </c>
    </row>
    <row r="15" customFormat="false" ht="15" hidden="false" customHeight="false" outlineLevel="0" collapsed="false">
      <c r="A15" s="6" t="s">
        <v>20</v>
      </c>
      <c r="B15" s="7" t="s">
        <v>21</v>
      </c>
    </row>
    <row r="16" customFormat="false" ht="15" hidden="false" customHeight="false" outlineLevel="0" collapsed="false">
      <c r="A16" s="6" t="s">
        <v>22</v>
      </c>
      <c r="B16" s="7" t="s">
        <v>23</v>
      </c>
    </row>
    <row r="17" customFormat="false" ht="23.85" hidden="false" customHeight="false" outlineLevel="0" collapsed="false">
      <c r="A17" s="6" t="s">
        <v>24</v>
      </c>
      <c r="B17" s="7" t="s">
        <v>25</v>
      </c>
    </row>
    <row r="18" customFormat="false" ht="15" hidden="false" customHeight="false" outlineLevel="0" collapsed="false">
      <c r="A18" s="6" t="s">
        <v>26</v>
      </c>
      <c r="B18" s="7" t="s">
        <v>27</v>
      </c>
    </row>
    <row r="19" customFormat="false" ht="15" hidden="false" customHeight="false" outlineLevel="0" collapsed="false">
      <c r="A19" s="6" t="s">
        <v>28</v>
      </c>
      <c r="B19" s="7" t="s">
        <v>29</v>
      </c>
    </row>
    <row r="20" customFormat="false" ht="15" hidden="false" customHeight="false" outlineLevel="0" collapsed="false">
      <c r="A20" s="6" t="s">
        <v>30</v>
      </c>
      <c r="B20" s="7" t="s">
        <v>31</v>
      </c>
    </row>
    <row r="21" customFormat="false" ht="15" hidden="false" customHeight="false" outlineLevel="0" collapsed="false">
      <c r="A21" s="6" t="s">
        <v>32</v>
      </c>
      <c r="B21" s="7" t="s">
        <v>33</v>
      </c>
    </row>
    <row r="22" customFormat="false" ht="15" hidden="false" customHeight="false" outlineLevel="0" collapsed="false">
      <c r="A22" s="6"/>
      <c r="B22" s="7"/>
    </row>
    <row r="23" customFormat="false" ht="15" hidden="false" customHeight="false" outlineLevel="0" collapsed="false">
      <c r="A23" s="4" t="s">
        <v>34</v>
      </c>
      <c r="B23" s="5"/>
    </row>
    <row r="24" customFormat="false" ht="15" hidden="false" customHeight="false" outlineLevel="0" collapsed="false">
      <c r="A24" s="8" t="s">
        <v>35</v>
      </c>
      <c r="B24" s="7" t="s">
        <v>36</v>
      </c>
    </row>
    <row r="25" customFormat="false" ht="15" hidden="false" customHeight="false" outlineLevel="0" collapsed="false">
      <c r="A25" s="9" t="s">
        <v>37</v>
      </c>
      <c r="B25" s="7" t="s">
        <v>38</v>
      </c>
    </row>
    <row r="26" customFormat="false" ht="15" hidden="false" customHeight="false" outlineLevel="0" collapsed="false">
      <c r="A26" s="10" t="s">
        <v>39</v>
      </c>
      <c r="B26" s="7" t="s">
        <v>40</v>
      </c>
    </row>
    <row r="27" customFormat="false" ht="15" hidden="false" customHeight="false" outlineLevel="0" collapsed="false">
      <c r="A27" s="6" t="s">
        <v>41</v>
      </c>
      <c r="B27" s="7" t="s">
        <v>42</v>
      </c>
    </row>
    <row r="28" customFormat="false" ht="15" hidden="false" customHeight="false" outlineLevel="0" collapsed="false">
      <c r="A28" s="6"/>
      <c r="B28" s="7"/>
    </row>
    <row r="29" customFormat="false" ht="15" hidden="false" customHeight="false" outlineLevel="0" collapsed="false">
      <c r="A29" s="4" t="s">
        <v>43</v>
      </c>
      <c r="B29" s="5"/>
    </row>
    <row r="30" customFormat="false" ht="23.85" hidden="false" customHeight="false" outlineLevel="0" collapsed="false">
      <c r="A30" s="6" t="s">
        <v>44</v>
      </c>
      <c r="B30" s="7" t="s">
        <v>45</v>
      </c>
    </row>
    <row r="31" customFormat="false" ht="15" hidden="false" customHeight="false" outlineLevel="0" collapsed="false">
      <c r="A31" s="6" t="s">
        <v>46</v>
      </c>
      <c r="B31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48"/>
    <col collapsed="false" customWidth="true" hidden="false" outlineLevel="0" max="11" min="11" style="0" width="9"/>
    <col collapsed="false" customWidth="true" hidden="false" outlineLevel="0" max="12" min="12" style="0" width="40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3.85" hidden="false" customHeight="false" outlineLevel="0" collapsed="false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 t="s">
        <v>58</v>
      </c>
      <c r="K4" s="11" t="s">
        <v>59</v>
      </c>
      <c r="L4" s="11" t="s">
        <v>60</v>
      </c>
      <c r="M4" s="11" t="s">
        <v>61</v>
      </c>
    </row>
    <row r="5" customFormat="false" ht="35.05" hidden="false" customHeight="false" outlineLevel="0" collapsed="false">
      <c r="A5" s="12" t="s">
        <v>62</v>
      </c>
      <c r="B5" s="12" t="s">
        <v>63</v>
      </c>
      <c r="C5" s="13" t="n">
        <v>6.3</v>
      </c>
      <c r="D5" s="13" t="n">
        <v>4</v>
      </c>
      <c r="E5" s="13" t="n">
        <v>14.8</v>
      </c>
      <c r="F5" s="12" t="s">
        <v>64</v>
      </c>
      <c r="G5" s="12" t="s">
        <v>65</v>
      </c>
      <c r="H5" s="14" t="b">
        <f aca="false">TRUE()</f>
        <v>1</v>
      </c>
      <c r="I5" s="12" t="n">
        <v>4</v>
      </c>
      <c r="J5" s="15" t="s">
        <v>66</v>
      </c>
      <c r="K5" s="15" t="s">
        <v>67</v>
      </c>
      <c r="L5" s="15" t="s">
        <v>68</v>
      </c>
      <c r="M5" s="15" t="s">
        <v>69</v>
      </c>
    </row>
    <row r="6" customFormat="false" ht="46.25" hidden="false" customHeight="false" outlineLevel="0" collapsed="false">
      <c r="A6" s="12" t="s">
        <v>70</v>
      </c>
      <c r="B6" s="12" t="s">
        <v>71</v>
      </c>
      <c r="C6" s="13" t="n">
        <v>14.8</v>
      </c>
      <c r="D6" s="13"/>
      <c r="E6" s="13"/>
      <c r="F6" s="12" t="s">
        <v>64</v>
      </c>
      <c r="G6" s="12" t="s">
        <v>65</v>
      </c>
      <c r="H6" s="14" t="b">
        <f aca="false">FALSE()</f>
        <v>0</v>
      </c>
      <c r="I6" s="12" t="n">
        <v>4</v>
      </c>
      <c r="J6" s="15" t="s">
        <v>72</v>
      </c>
      <c r="K6" s="15" t="s">
        <v>67</v>
      </c>
      <c r="L6" s="15" t="s">
        <v>73</v>
      </c>
      <c r="M6" s="15" t="s">
        <v>74</v>
      </c>
    </row>
    <row r="7" customFormat="false" ht="23.85" hidden="false" customHeight="false" outlineLevel="0" collapsed="false">
      <c r="A7" s="12" t="s">
        <v>75</v>
      </c>
      <c r="B7" s="12" t="s">
        <v>76</v>
      </c>
      <c r="C7" s="13" t="n">
        <v>0.5</v>
      </c>
      <c r="D7" s="13" t="n">
        <v>0.4</v>
      </c>
      <c r="E7" s="13" t="n">
        <v>0.9</v>
      </c>
      <c r="F7" s="12" t="s">
        <v>64</v>
      </c>
      <c r="G7" s="12" t="s">
        <v>65</v>
      </c>
      <c r="H7" s="14" t="b">
        <f aca="false">TRUE()</f>
        <v>1</v>
      </c>
      <c r="I7" s="12" t="n">
        <v>3</v>
      </c>
      <c r="J7" s="15" t="s">
        <v>77</v>
      </c>
      <c r="K7" s="15" t="s">
        <v>78</v>
      </c>
      <c r="L7" s="15" t="s">
        <v>79</v>
      </c>
      <c r="M7" s="15" t="s">
        <v>80</v>
      </c>
    </row>
    <row r="8" customFormat="false" ht="23.85" hidden="false" customHeight="false" outlineLevel="0" collapsed="false">
      <c r="A8" s="12" t="s">
        <v>81</v>
      </c>
      <c r="B8" s="12" t="s">
        <v>82</v>
      </c>
      <c r="C8" s="13" t="n">
        <v>0.344</v>
      </c>
      <c r="D8" s="13" t="n">
        <v>0.1</v>
      </c>
      <c r="E8" s="13" t="n">
        <v>0.45</v>
      </c>
      <c r="F8" s="12" t="s">
        <v>83</v>
      </c>
      <c r="G8" s="12" t="s">
        <v>84</v>
      </c>
      <c r="H8" s="14" t="b">
        <f aca="false">TRUE()</f>
        <v>1</v>
      </c>
      <c r="I8" s="12" t="n">
        <v>4</v>
      </c>
      <c r="J8" s="15" t="s">
        <v>85</v>
      </c>
      <c r="K8" s="15" t="s">
        <v>86</v>
      </c>
      <c r="L8" s="15" t="s">
        <v>87</v>
      </c>
      <c r="M8" s="15" t="s">
        <v>88</v>
      </c>
    </row>
    <row r="9" customFormat="false" ht="35.05" hidden="false" customHeight="false" outlineLevel="0" collapsed="false">
      <c r="A9" s="12" t="s">
        <v>89</v>
      </c>
      <c r="B9" s="12" t="s">
        <v>90</v>
      </c>
      <c r="C9" s="13" t="n">
        <v>0.058</v>
      </c>
      <c r="D9" s="13" t="n">
        <v>0.058</v>
      </c>
      <c r="E9" s="13" t="n">
        <v>0.562</v>
      </c>
      <c r="F9" s="12" t="s">
        <v>91</v>
      </c>
      <c r="G9" s="12" t="s">
        <v>84</v>
      </c>
      <c r="H9" s="14" t="b">
        <f aca="false">TRUE()</f>
        <v>1</v>
      </c>
      <c r="I9" s="12" t="n">
        <v>3</v>
      </c>
      <c r="J9" s="15" t="s">
        <v>92</v>
      </c>
      <c r="K9" s="15" t="s">
        <v>67</v>
      </c>
      <c r="L9" s="15" t="s">
        <v>93</v>
      </c>
      <c r="M9" s="15" t="s">
        <v>94</v>
      </c>
    </row>
    <row r="10" customFormat="false" ht="15" hidden="false" customHeight="false" outlineLevel="0" collapsed="false">
      <c r="A10" s="12" t="s">
        <v>95</v>
      </c>
      <c r="B10" s="12" t="s">
        <v>96</v>
      </c>
      <c r="C10" s="13" t="n">
        <v>0.6</v>
      </c>
      <c r="D10" s="13" t="n">
        <v>0.4</v>
      </c>
      <c r="E10" s="13" t="n">
        <v>0.9</v>
      </c>
      <c r="F10" s="12" t="s">
        <v>97</v>
      </c>
      <c r="G10" s="16" t="s">
        <v>98</v>
      </c>
      <c r="H10" s="14" t="b">
        <f aca="false">TRUE()</f>
        <v>1</v>
      </c>
      <c r="I10" s="12" t="n">
        <v>2</v>
      </c>
      <c r="J10" s="15" t="s">
        <v>99</v>
      </c>
      <c r="K10" s="15"/>
      <c r="L10" s="15"/>
      <c r="M10" s="15" t="s">
        <v>100</v>
      </c>
    </row>
    <row r="11" customFormat="false" ht="35.05" hidden="false" customHeight="false" outlineLevel="0" collapsed="false">
      <c r="A11" s="12" t="s">
        <v>101</v>
      </c>
      <c r="B11" s="12" t="s">
        <v>102</v>
      </c>
      <c r="C11" s="13" t="n">
        <v>3100</v>
      </c>
      <c r="D11" s="13" t="n">
        <v>2500</v>
      </c>
      <c r="E11" s="13" t="n">
        <v>3500</v>
      </c>
      <c r="F11" s="12" t="s">
        <v>103</v>
      </c>
      <c r="G11" s="12" t="s">
        <v>84</v>
      </c>
      <c r="H11" s="14" t="b">
        <f aca="false">TRUE()</f>
        <v>1</v>
      </c>
      <c r="I11" s="12" t="n">
        <v>2</v>
      </c>
      <c r="J11" s="15" t="s">
        <v>104</v>
      </c>
      <c r="K11" s="15"/>
      <c r="L11" s="15" t="s">
        <v>105</v>
      </c>
      <c r="M11" s="15" t="s">
        <v>106</v>
      </c>
    </row>
    <row r="12" customFormat="false" ht="15" hidden="false" customHeight="false" outlineLevel="0" collapsed="false">
      <c r="A12" s="12" t="s">
        <v>107</v>
      </c>
      <c r="B12" s="12" t="s">
        <v>108</v>
      </c>
      <c r="C12" s="13" t="n">
        <v>0.9</v>
      </c>
      <c r="D12" s="13" t="n">
        <v>0.85</v>
      </c>
      <c r="E12" s="13" t="n">
        <v>0.95</v>
      </c>
      <c r="F12" s="12" t="s">
        <v>109</v>
      </c>
      <c r="G12" s="16" t="s">
        <v>98</v>
      </c>
      <c r="H12" s="14" t="b">
        <f aca="false">TRUE()</f>
        <v>1</v>
      </c>
      <c r="I12" s="12" t="n">
        <v>2</v>
      </c>
      <c r="J12" s="15" t="s">
        <v>99</v>
      </c>
      <c r="K12" s="15"/>
      <c r="L12" s="15"/>
      <c r="M12" s="15" t="s">
        <v>110</v>
      </c>
    </row>
    <row r="13" customFormat="false" ht="23.85" hidden="false" customHeight="false" outlineLevel="0" collapsed="false">
      <c r="A13" s="12" t="s">
        <v>111</v>
      </c>
      <c r="B13" s="12" t="s">
        <v>112</v>
      </c>
      <c r="C13" s="13" t="n">
        <v>0.7</v>
      </c>
      <c r="D13" s="13" t="n">
        <v>0.55</v>
      </c>
      <c r="E13" s="13" t="n">
        <v>0.85</v>
      </c>
      <c r="F13" s="12" t="s">
        <v>97</v>
      </c>
      <c r="G13" s="16" t="s">
        <v>98</v>
      </c>
      <c r="H13" s="14" t="b">
        <f aca="false">TRUE()</f>
        <v>1</v>
      </c>
      <c r="I13" s="12" t="n">
        <v>2</v>
      </c>
      <c r="J13" s="15" t="s">
        <v>99</v>
      </c>
      <c r="K13" s="15"/>
      <c r="L13" s="15"/>
      <c r="M13" s="15" t="s">
        <v>113</v>
      </c>
    </row>
    <row r="14" customFormat="false" ht="35.05" hidden="false" customHeight="false" outlineLevel="0" collapsed="false">
      <c r="A14" s="12" t="s">
        <v>114</v>
      </c>
      <c r="B14" s="12" t="s">
        <v>115</v>
      </c>
      <c r="C14" s="13" t="n">
        <v>0.95</v>
      </c>
      <c r="D14" s="13" t="n">
        <v>0.8</v>
      </c>
      <c r="E14" s="13" t="n">
        <v>0.99</v>
      </c>
      <c r="F14" s="12" t="s">
        <v>97</v>
      </c>
      <c r="G14" s="12" t="s">
        <v>65</v>
      </c>
      <c r="H14" s="14" t="b">
        <f aca="false">TRUE()</f>
        <v>1</v>
      </c>
      <c r="I14" s="12" t="n">
        <v>4</v>
      </c>
      <c r="J14" s="15" t="s">
        <v>116</v>
      </c>
      <c r="K14" s="15" t="s">
        <v>117</v>
      </c>
      <c r="L14" s="15" t="s">
        <v>118</v>
      </c>
      <c r="M14" s="15" t="s">
        <v>119</v>
      </c>
    </row>
    <row r="15" customFormat="false" ht="15" hidden="false" customHeight="false" outlineLevel="0" collapsed="false">
      <c r="A15" s="12" t="s">
        <v>120</v>
      </c>
      <c r="B15" s="12" t="s">
        <v>121</v>
      </c>
      <c r="C15" s="13" t="n">
        <v>0.95</v>
      </c>
      <c r="D15" s="13" t="n">
        <v>0.9</v>
      </c>
      <c r="E15" s="13" t="n">
        <v>0.98</v>
      </c>
      <c r="F15" s="12" t="s">
        <v>97</v>
      </c>
      <c r="G15" s="16" t="s">
        <v>98</v>
      </c>
      <c r="H15" s="14" t="b">
        <f aca="false">TRUE()</f>
        <v>1</v>
      </c>
      <c r="I15" s="12" t="n">
        <v>2</v>
      </c>
      <c r="J15" s="15" t="s">
        <v>99</v>
      </c>
      <c r="K15" s="15"/>
      <c r="L15" s="15"/>
      <c r="M15" s="15" t="s">
        <v>122</v>
      </c>
    </row>
    <row r="16" customFormat="false" ht="15" hidden="false" customHeight="false" outlineLevel="0" collapsed="false">
      <c r="A16" s="12" t="s">
        <v>123</v>
      </c>
      <c r="B16" s="12" t="s">
        <v>124</v>
      </c>
      <c r="C16" s="13" t="n">
        <v>0.3</v>
      </c>
      <c r="D16" s="13" t="n">
        <v>0.1</v>
      </c>
      <c r="E16" s="13" t="n">
        <v>0.6</v>
      </c>
      <c r="F16" s="12" t="s">
        <v>97</v>
      </c>
      <c r="G16" s="16" t="s">
        <v>98</v>
      </c>
      <c r="H16" s="14" t="b">
        <f aca="false">TRUE()</f>
        <v>1</v>
      </c>
      <c r="I16" s="12" t="n">
        <v>2</v>
      </c>
      <c r="J16" s="15" t="s">
        <v>99</v>
      </c>
      <c r="K16" s="15"/>
      <c r="L16" s="15"/>
      <c r="M16" s="15" t="s">
        <v>125</v>
      </c>
    </row>
    <row r="17" customFormat="false" ht="15" hidden="false" customHeight="false" outlineLevel="0" collapsed="false">
      <c r="A17" s="12" t="s">
        <v>126</v>
      </c>
      <c r="B17" s="12" t="s">
        <v>127</v>
      </c>
      <c r="C17" s="13" t="n">
        <v>1.5</v>
      </c>
      <c r="D17" s="13" t="n">
        <v>0.8</v>
      </c>
      <c r="E17" s="13" t="n">
        <v>3</v>
      </c>
      <c r="F17" s="12" t="s">
        <v>128</v>
      </c>
      <c r="G17" s="16" t="s">
        <v>98</v>
      </c>
      <c r="H17" s="14" t="b">
        <f aca="false">TRUE()</f>
        <v>1</v>
      </c>
      <c r="I17" s="12" t="n">
        <v>2</v>
      </c>
      <c r="J17" s="15" t="s">
        <v>99</v>
      </c>
      <c r="K17" s="15"/>
      <c r="L17" s="15"/>
      <c r="M17" s="15" t="s">
        <v>129</v>
      </c>
    </row>
    <row r="18" customFormat="false" ht="15" hidden="false" customHeight="false" outlineLevel="0" collapsed="false">
      <c r="A18" s="12" t="s">
        <v>130</v>
      </c>
      <c r="B18" s="12" t="s">
        <v>131</v>
      </c>
      <c r="C18" s="13" t="n">
        <v>0.15</v>
      </c>
      <c r="D18" s="13" t="n">
        <v>0.05</v>
      </c>
      <c r="E18" s="13" t="n">
        <v>0.3</v>
      </c>
      <c r="F18" s="12" t="s">
        <v>128</v>
      </c>
      <c r="G18" s="16" t="s">
        <v>98</v>
      </c>
      <c r="H18" s="14" t="b">
        <f aca="false">TRUE()</f>
        <v>1</v>
      </c>
      <c r="I18" s="12" t="n">
        <v>2</v>
      </c>
      <c r="J18" s="15" t="s">
        <v>99</v>
      </c>
      <c r="K18" s="15"/>
      <c r="L18" s="15"/>
      <c r="M18" s="15"/>
    </row>
    <row r="19" customFormat="false" ht="15" hidden="false" customHeight="false" outlineLevel="0" collapsed="false">
      <c r="A19" s="12" t="s">
        <v>132</v>
      </c>
      <c r="B19" s="12" t="s">
        <v>133</v>
      </c>
      <c r="C19" s="13" t="n">
        <v>0.02</v>
      </c>
      <c r="D19" s="13" t="n">
        <v>0.01</v>
      </c>
      <c r="E19" s="13" t="n">
        <v>0.05</v>
      </c>
      <c r="F19" s="12" t="s">
        <v>64</v>
      </c>
      <c r="G19" s="16" t="s">
        <v>98</v>
      </c>
      <c r="H19" s="14" t="b">
        <f aca="false">TRUE()</f>
        <v>1</v>
      </c>
      <c r="I19" s="12" t="n">
        <v>2</v>
      </c>
      <c r="J19" s="15" t="s">
        <v>99</v>
      </c>
      <c r="K19" s="15"/>
      <c r="L19" s="15"/>
      <c r="M19" s="15"/>
    </row>
    <row r="20" customFormat="false" ht="23.85" hidden="false" customHeight="false" outlineLevel="0" collapsed="false">
      <c r="A20" s="12" t="s">
        <v>134</v>
      </c>
      <c r="B20" s="12" t="s">
        <v>135</v>
      </c>
      <c r="C20" s="13" t="n">
        <v>0.2</v>
      </c>
      <c r="D20" s="13" t="n">
        <v>0.1</v>
      </c>
      <c r="E20" s="13" t="n">
        <v>0.5</v>
      </c>
      <c r="F20" s="12" t="s">
        <v>97</v>
      </c>
      <c r="G20" s="16" t="s">
        <v>98</v>
      </c>
      <c r="H20" s="14" t="b">
        <f aca="false">TRUE()</f>
        <v>1</v>
      </c>
      <c r="I20" s="12" t="n">
        <v>2</v>
      </c>
      <c r="J20" s="15" t="s">
        <v>99</v>
      </c>
      <c r="K20" s="15"/>
      <c r="L20" s="15"/>
      <c r="M20" s="15" t="s">
        <v>136</v>
      </c>
    </row>
    <row r="21" customFormat="false" ht="23.85" hidden="false" customHeight="false" outlineLevel="0" collapsed="false">
      <c r="A21" s="12" t="s">
        <v>137</v>
      </c>
      <c r="B21" s="12" t="s">
        <v>138</v>
      </c>
      <c r="C21" s="13" t="n">
        <v>0.08</v>
      </c>
      <c r="D21" s="13" t="n">
        <v>0.02</v>
      </c>
      <c r="E21" s="13" t="n">
        <v>0.25</v>
      </c>
      <c r="F21" s="12" t="s">
        <v>139</v>
      </c>
      <c r="G21" s="16" t="s">
        <v>98</v>
      </c>
      <c r="H21" s="14" t="b">
        <f aca="false">TRUE()</f>
        <v>1</v>
      </c>
      <c r="I21" s="12" t="n">
        <v>2</v>
      </c>
      <c r="J21" s="15" t="s">
        <v>99</v>
      </c>
      <c r="K21" s="15"/>
      <c r="L21" s="15"/>
      <c r="M21" s="15" t="s">
        <v>140</v>
      </c>
    </row>
    <row r="22" customFormat="false" ht="15" hidden="false" customHeight="false" outlineLevel="0" collapsed="false">
      <c r="A22" s="12" t="s">
        <v>141</v>
      </c>
      <c r="B22" s="12" t="s">
        <v>142</v>
      </c>
      <c r="C22" s="13" t="n">
        <v>0.05</v>
      </c>
      <c r="D22" s="13" t="n">
        <v>0.02</v>
      </c>
      <c r="E22" s="13" t="n">
        <v>0.15</v>
      </c>
      <c r="F22" s="12" t="s">
        <v>128</v>
      </c>
      <c r="G22" s="16" t="s">
        <v>98</v>
      </c>
      <c r="H22" s="14" t="b">
        <f aca="false">TRUE()</f>
        <v>1</v>
      </c>
      <c r="I22" s="12" t="n">
        <v>2</v>
      </c>
      <c r="J22" s="15" t="s">
        <v>99</v>
      </c>
      <c r="K22" s="15"/>
      <c r="L22" s="15"/>
      <c r="M22" s="15"/>
    </row>
    <row r="23" customFormat="false" ht="15" hidden="false" customHeight="false" outlineLevel="0" collapsed="false">
      <c r="A23" s="12" t="s">
        <v>143</v>
      </c>
      <c r="B23" s="12" t="s">
        <v>144</v>
      </c>
      <c r="C23" s="13" t="n">
        <v>0.3</v>
      </c>
      <c r="D23" s="13" t="n">
        <v>0.15</v>
      </c>
      <c r="E23" s="13" t="n">
        <v>0.6</v>
      </c>
      <c r="F23" s="12" t="s">
        <v>128</v>
      </c>
      <c r="G23" s="16" t="s">
        <v>98</v>
      </c>
      <c r="H23" s="14" t="b">
        <f aca="false">TRUE()</f>
        <v>1</v>
      </c>
      <c r="I23" s="12" t="n">
        <v>2</v>
      </c>
      <c r="J23" s="15" t="s">
        <v>99</v>
      </c>
      <c r="K23" s="15"/>
      <c r="L23" s="15"/>
      <c r="M23" s="15"/>
    </row>
    <row r="24" customFormat="false" ht="15" hidden="false" customHeight="false" outlineLevel="0" collapsed="false">
      <c r="A24" s="12" t="s">
        <v>145</v>
      </c>
      <c r="B24" s="12" t="s">
        <v>146</v>
      </c>
      <c r="C24" s="13" t="n">
        <v>0.1</v>
      </c>
      <c r="D24" s="13" t="n">
        <v>0.03</v>
      </c>
      <c r="E24" s="13" t="n">
        <v>0.25</v>
      </c>
      <c r="F24" s="12" t="s">
        <v>97</v>
      </c>
      <c r="G24" s="16" t="s">
        <v>98</v>
      </c>
      <c r="H24" s="14" t="b">
        <f aca="false">TRUE()</f>
        <v>1</v>
      </c>
      <c r="I24" s="12" t="n">
        <v>2</v>
      </c>
      <c r="J24" s="15" t="s">
        <v>99</v>
      </c>
      <c r="K24" s="15"/>
      <c r="L24" s="15"/>
      <c r="M24" s="15"/>
    </row>
    <row r="25" customFormat="false" ht="15" hidden="false" customHeight="false" outlineLevel="0" collapsed="false">
      <c r="A25" s="12" t="s">
        <v>147</v>
      </c>
      <c r="B25" s="12" t="s">
        <v>148</v>
      </c>
      <c r="C25" s="13" t="n">
        <v>0.8</v>
      </c>
      <c r="D25" s="13" t="n">
        <v>0.4</v>
      </c>
      <c r="E25" s="13" t="n">
        <v>1.5</v>
      </c>
      <c r="F25" s="12" t="s">
        <v>128</v>
      </c>
      <c r="G25" s="16" t="s">
        <v>98</v>
      </c>
      <c r="H25" s="14" t="b">
        <f aca="false">TRUE()</f>
        <v>1</v>
      </c>
      <c r="I25" s="12" t="n">
        <v>2</v>
      </c>
      <c r="J25" s="15" t="s">
        <v>99</v>
      </c>
      <c r="K25" s="15"/>
      <c r="L25" s="15"/>
      <c r="M25" s="15"/>
    </row>
    <row r="26" customFormat="false" ht="15" hidden="false" customHeight="false" outlineLevel="0" collapsed="false">
      <c r="A26" s="12" t="s">
        <v>149</v>
      </c>
      <c r="B26" s="12" t="s">
        <v>150</v>
      </c>
      <c r="C26" s="13" t="n">
        <v>8</v>
      </c>
      <c r="D26" s="13" t="n">
        <v>5</v>
      </c>
      <c r="E26" s="13" t="n">
        <v>12</v>
      </c>
      <c r="F26" s="12" t="s">
        <v>151</v>
      </c>
      <c r="G26" s="16" t="s">
        <v>98</v>
      </c>
      <c r="H26" s="14" t="b">
        <f aca="false">TRUE()</f>
        <v>1</v>
      </c>
      <c r="I26" s="12" t="n">
        <v>2</v>
      </c>
      <c r="J26" s="15" t="s">
        <v>99</v>
      </c>
      <c r="K26" s="15"/>
      <c r="L26" s="15"/>
      <c r="M26" s="15" t="s">
        <v>152</v>
      </c>
    </row>
    <row r="27" customFormat="false" ht="15" hidden="false" customHeight="false" outlineLevel="0" collapsed="false">
      <c r="A27" s="12" t="s">
        <v>153</v>
      </c>
      <c r="B27" s="12" t="s">
        <v>154</v>
      </c>
      <c r="C27" s="13" t="n">
        <v>6</v>
      </c>
      <c r="D27" s="13" t="n">
        <v>3</v>
      </c>
      <c r="E27" s="13" t="n">
        <v>10</v>
      </c>
      <c r="F27" s="12" t="s">
        <v>155</v>
      </c>
      <c r="G27" s="16" t="s">
        <v>98</v>
      </c>
      <c r="H27" s="14" t="b">
        <f aca="false">TRUE()</f>
        <v>1</v>
      </c>
      <c r="I27" s="12" t="n">
        <v>2</v>
      </c>
      <c r="J27" s="15" t="s">
        <v>99</v>
      </c>
      <c r="K27" s="15"/>
      <c r="L27" s="15"/>
      <c r="M27" s="15"/>
    </row>
    <row r="28" customFormat="false" ht="15" hidden="false" customHeight="false" outlineLevel="0" collapsed="false">
      <c r="A28" s="12" t="s">
        <v>156</v>
      </c>
      <c r="B28" s="12" t="s">
        <v>157</v>
      </c>
      <c r="C28" s="13" t="n">
        <v>3</v>
      </c>
      <c r="D28" s="13" t="n">
        <v>1</v>
      </c>
      <c r="E28" s="13" t="n">
        <v>6</v>
      </c>
      <c r="F28" s="12" t="s">
        <v>155</v>
      </c>
      <c r="G28" s="16" t="s">
        <v>98</v>
      </c>
      <c r="H28" s="14" t="b">
        <f aca="false">TRUE()</f>
        <v>1</v>
      </c>
      <c r="I28" s="12" t="n">
        <v>2</v>
      </c>
      <c r="J28" s="15" t="s">
        <v>99</v>
      </c>
      <c r="K28" s="15"/>
      <c r="L28" s="15"/>
      <c r="M28" s="15"/>
    </row>
    <row r="29" customFormat="false" ht="15" hidden="false" customHeight="false" outlineLevel="0" collapsed="false">
      <c r="A29" s="12" t="s">
        <v>158</v>
      </c>
      <c r="B29" s="12" t="s">
        <v>159</v>
      </c>
      <c r="C29" s="13" t="n">
        <v>45</v>
      </c>
      <c r="D29" s="13" t="n">
        <v>35</v>
      </c>
      <c r="E29" s="13" t="n">
        <v>60</v>
      </c>
      <c r="F29" s="12" t="s">
        <v>160</v>
      </c>
      <c r="G29" s="16" t="s">
        <v>98</v>
      </c>
      <c r="H29" s="14" t="b">
        <f aca="false">TRUE()</f>
        <v>1</v>
      </c>
      <c r="I29" s="12" t="n">
        <v>2</v>
      </c>
      <c r="J29" s="15" t="s">
        <v>99</v>
      </c>
      <c r="K29" s="15"/>
      <c r="L29" s="15"/>
      <c r="M29" s="15"/>
    </row>
    <row r="30" customFormat="false" ht="15" hidden="false" customHeight="false" outlineLevel="0" collapsed="false">
      <c r="A30" s="12" t="s">
        <v>161</v>
      </c>
      <c r="B30" s="12" t="s">
        <v>162</v>
      </c>
      <c r="C30" s="13" t="n">
        <v>0.25</v>
      </c>
      <c r="D30" s="13" t="n">
        <v>0.15</v>
      </c>
      <c r="E30" s="13" t="n">
        <v>0.6</v>
      </c>
      <c r="F30" s="12" t="s">
        <v>163</v>
      </c>
      <c r="G30" s="16" t="s">
        <v>98</v>
      </c>
      <c r="H30" s="14" t="b">
        <f aca="false">TRUE()</f>
        <v>1</v>
      </c>
      <c r="I30" s="12" t="n">
        <v>2</v>
      </c>
      <c r="J30" s="15" t="s">
        <v>99</v>
      </c>
      <c r="K30" s="15"/>
      <c r="L30" s="15"/>
      <c r="M30" s="15"/>
    </row>
    <row r="31" customFormat="false" ht="15" hidden="false" customHeight="false" outlineLevel="0" collapsed="false">
      <c r="A31" s="12" t="s">
        <v>164</v>
      </c>
      <c r="B31" s="12" t="s">
        <v>165</v>
      </c>
      <c r="C31" s="13" t="n">
        <v>0.15</v>
      </c>
      <c r="D31" s="13" t="n">
        <v>0.08</v>
      </c>
      <c r="E31" s="13" t="n">
        <v>0.3</v>
      </c>
      <c r="F31" s="12" t="s">
        <v>151</v>
      </c>
      <c r="G31" s="16" t="s">
        <v>98</v>
      </c>
      <c r="H31" s="14" t="b">
        <f aca="false">TRUE()</f>
        <v>1</v>
      </c>
      <c r="I31" s="12" t="n">
        <v>2</v>
      </c>
      <c r="J31" s="15" t="s">
        <v>99</v>
      </c>
      <c r="K31" s="15"/>
      <c r="L31" s="15"/>
      <c r="M31" s="15"/>
    </row>
    <row r="32" customFormat="false" ht="35.05" hidden="false" customHeight="false" outlineLevel="0" collapsed="false">
      <c r="A32" s="12" t="s">
        <v>166</v>
      </c>
      <c r="B32" s="12" t="s">
        <v>167</v>
      </c>
      <c r="C32" s="13" t="n">
        <v>0.7</v>
      </c>
      <c r="D32" s="13"/>
      <c r="E32" s="13"/>
      <c r="F32" s="12" t="s">
        <v>97</v>
      </c>
      <c r="G32" s="12" t="s">
        <v>65</v>
      </c>
      <c r="H32" s="14" t="b">
        <f aca="false">FALSE()</f>
        <v>0</v>
      </c>
      <c r="I32" s="12" t="n">
        <v>3</v>
      </c>
      <c r="J32" s="15" t="s">
        <v>168</v>
      </c>
      <c r="K32" s="15" t="s">
        <v>169</v>
      </c>
      <c r="L32" s="15" t="s">
        <v>170</v>
      </c>
      <c r="M32" s="15" t="s">
        <v>171</v>
      </c>
    </row>
    <row r="33" customFormat="false" ht="46.25" hidden="false" customHeight="false" outlineLevel="0" collapsed="false">
      <c r="A33" s="12" t="s">
        <v>172</v>
      </c>
      <c r="B33" s="12" t="s">
        <v>173</v>
      </c>
      <c r="C33" s="13" t="n">
        <v>-0.22</v>
      </c>
      <c r="D33" s="13"/>
      <c r="E33" s="13"/>
      <c r="F33" s="12" t="s">
        <v>97</v>
      </c>
      <c r="G33" s="12" t="s">
        <v>65</v>
      </c>
      <c r="H33" s="14" t="b">
        <f aca="false">FALSE()</f>
        <v>0</v>
      </c>
      <c r="I33" s="12" t="n">
        <v>4</v>
      </c>
      <c r="J33" s="15" t="s">
        <v>174</v>
      </c>
      <c r="K33" s="15" t="s">
        <v>169</v>
      </c>
      <c r="L33" s="15" t="s">
        <v>175</v>
      </c>
      <c r="M33" s="15" t="s">
        <v>176</v>
      </c>
    </row>
    <row r="34" customFormat="false" ht="23.85" hidden="false" customHeight="false" outlineLevel="0" collapsed="false">
      <c r="A34" s="12" t="s">
        <v>177</v>
      </c>
      <c r="B34" s="12" t="s">
        <v>178</v>
      </c>
      <c r="C34" s="13" t="n">
        <v>1.4</v>
      </c>
      <c r="D34" s="13"/>
      <c r="E34" s="13"/>
      <c r="F34" s="12" t="s">
        <v>179</v>
      </c>
      <c r="G34" s="12" t="s">
        <v>65</v>
      </c>
      <c r="H34" s="14" t="b">
        <f aca="false">FALSE()</f>
        <v>0</v>
      </c>
      <c r="I34" s="12" t="n">
        <v>2</v>
      </c>
      <c r="J34" s="15" t="s">
        <v>180</v>
      </c>
      <c r="K34" s="15" t="s">
        <v>181</v>
      </c>
      <c r="L34" s="15" t="s">
        <v>182</v>
      </c>
      <c r="M34" s="15" t="s">
        <v>183</v>
      </c>
    </row>
  </sheetData>
  <autoFilter ref="A4:M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1" t="s">
        <v>184</v>
      </c>
      <c r="B1" s="11" t="s">
        <v>185</v>
      </c>
      <c r="C1" s="11" t="s">
        <v>186</v>
      </c>
      <c r="D1" s="11" t="s">
        <v>187</v>
      </c>
      <c r="E1" s="11" t="s">
        <v>188</v>
      </c>
      <c r="F1" s="11" t="s">
        <v>189</v>
      </c>
      <c r="G1" s="11" t="s">
        <v>190</v>
      </c>
      <c r="H1" s="11" t="s">
        <v>191</v>
      </c>
      <c r="I1" s="11" t="s">
        <v>192</v>
      </c>
      <c r="J1" s="11" t="s">
        <v>193</v>
      </c>
    </row>
    <row r="2" customFormat="false" ht="15" hidden="false" customHeight="false" outlineLevel="0" collapsed="false">
      <c r="A2" s="12" t="s">
        <v>194</v>
      </c>
      <c r="B2" s="12" t="s">
        <v>195</v>
      </c>
      <c r="C2" s="17" t="n">
        <v>14</v>
      </c>
      <c r="D2" s="17" t="n">
        <v>0.3</v>
      </c>
      <c r="E2" s="17" t="n">
        <v>1</v>
      </c>
      <c r="F2" s="17" t="n">
        <v>0.85</v>
      </c>
      <c r="G2" s="17" t="n">
        <v>1</v>
      </c>
      <c r="H2" s="17" t="n">
        <v>15</v>
      </c>
      <c r="I2" s="17" t="n">
        <v>0.3</v>
      </c>
      <c r="J2" s="12" t="s">
        <v>196</v>
      </c>
    </row>
    <row r="3" customFormat="false" ht="15" hidden="false" customHeight="false" outlineLevel="0" collapsed="false">
      <c r="A3" s="12" t="s">
        <v>197</v>
      </c>
      <c r="B3" s="12" t="s">
        <v>198</v>
      </c>
      <c r="C3" s="17" t="n">
        <v>12</v>
      </c>
      <c r="D3" s="17" t="n">
        <v>0.9</v>
      </c>
      <c r="E3" s="17" t="n">
        <v>1.15</v>
      </c>
      <c r="F3" s="17" t="n">
        <v>1.1</v>
      </c>
      <c r="G3" s="17" t="n">
        <v>0.9</v>
      </c>
      <c r="H3" s="17" t="n">
        <v>40</v>
      </c>
      <c r="I3" s="17" t="n">
        <v>0.9</v>
      </c>
      <c r="J3" s="12" t="s">
        <v>199</v>
      </c>
    </row>
    <row r="4" customFormat="false" ht="15" hidden="false" customHeight="false" outlineLevel="0" collapsed="false">
      <c r="A4" s="12" t="s">
        <v>200</v>
      </c>
      <c r="B4" s="12" t="s">
        <v>201</v>
      </c>
      <c r="C4" s="17" t="n">
        <v>8.5</v>
      </c>
      <c r="D4" s="17" t="n">
        <v>0.55</v>
      </c>
      <c r="E4" s="17" t="n">
        <v>1.05</v>
      </c>
      <c r="F4" s="17" t="n">
        <v>1</v>
      </c>
      <c r="G4" s="17" t="n">
        <v>1.3</v>
      </c>
      <c r="H4" s="17" t="n">
        <v>20</v>
      </c>
      <c r="I4" s="17" t="n">
        <v>0.6</v>
      </c>
      <c r="J4" s="12" t="s">
        <v>202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3" t="s">
        <v>203</v>
      </c>
      <c r="B6" s="2"/>
      <c r="C6" s="2"/>
      <c r="D6" s="2"/>
      <c r="E6" s="2"/>
      <c r="F6" s="2"/>
      <c r="G6" s="2"/>
      <c r="H6" s="2"/>
      <c r="I6" s="2"/>
      <c r="J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60"/>
  </cols>
  <sheetData>
    <row r="1" customFormat="false" ht="23.85" hidden="false" customHeight="false" outlineLevel="0" collapsed="false">
      <c r="A1" s="11" t="s">
        <v>204</v>
      </c>
      <c r="B1" s="11" t="s">
        <v>205</v>
      </c>
      <c r="C1" s="11" t="s">
        <v>206</v>
      </c>
      <c r="D1" s="11" t="s">
        <v>207</v>
      </c>
      <c r="E1" s="11" t="s">
        <v>208</v>
      </c>
      <c r="F1" s="11" t="s">
        <v>209</v>
      </c>
      <c r="G1" s="11" t="s">
        <v>210</v>
      </c>
      <c r="H1" s="11" t="s">
        <v>211</v>
      </c>
      <c r="I1" s="11" t="s">
        <v>212</v>
      </c>
      <c r="J1" s="11" t="s">
        <v>193</v>
      </c>
    </row>
    <row r="2" customFormat="false" ht="15" hidden="false" customHeight="false" outlineLevel="0" collapsed="false">
      <c r="A2" s="12" t="s">
        <v>213</v>
      </c>
      <c r="B2" s="12" t="s">
        <v>214</v>
      </c>
      <c r="C2" s="12" t="s">
        <v>213</v>
      </c>
      <c r="D2" s="17" t="n">
        <v>0.85</v>
      </c>
      <c r="E2" s="17" t="n">
        <v>0.05</v>
      </c>
      <c r="F2" s="17" t="n">
        <v>0</v>
      </c>
      <c r="G2" s="17" t="n">
        <v>0</v>
      </c>
      <c r="H2" s="17" t="n">
        <v>1</v>
      </c>
      <c r="I2" s="17" t="n">
        <v>0.05</v>
      </c>
      <c r="J2" s="12" t="s">
        <v>215</v>
      </c>
    </row>
    <row r="3" customFormat="false" ht="15" hidden="false" customHeight="false" outlineLevel="0" collapsed="false">
      <c r="A3" s="12" t="s">
        <v>209</v>
      </c>
      <c r="B3" s="12" t="s">
        <v>216</v>
      </c>
      <c r="C3" s="12" t="s">
        <v>213</v>
      </c>
      <c r="D3" s="17" t="n">
        <v>0.75</v>
      </c>
      <c r="E3" s="17" t="n">
        <v>0.05</v>
      </c>
      <c r="F3" s="17" t="n">
        <v>1</v>
      </c>
      <c r="G3" s="17" t="n">
        <v>0</v>
      </c>
      <c r="H3" s="17" t="n">
        <v>1</v>
      </c>
      <c r="I3" s="17" t="n">
        <v>0.4</v>
      </c>
      <c r="J3" s="12" t="s">
        <v>217</v>
      </c>
    </row>
    <row r="4" customFormat="false" ht="15" hidden="false" customHeight="false" outlineLevel="0" collapsed="false">
      <c r="A4" s="12" t="s">
        <v>218</v>
      </c>
      <c r="B4" s="12" t="s">
        <v>219</v>
      </c>
      <c r="C4" s="12" t="s">
        <v>213</v>
      </c>
      <c r="D4" s="17" t="n">
        <v>0.65</v>
      </c>
      <c r="E4" s="17" t="n">
        <v>0.05</v>
      </c>
      <c r="F4" s="17" t="n">
        <v>0</v>
      </c>
      <c r="G4" s="17" t="n">
        <v>1</v>
      </c>
      <c r="H4" s="17" t="n">
        <v>0.6</v>
      </c>
      <c r="I4" s="17" t="n">
        <v>0.25</v>
      </c>
      <c r="J4" s="12" t="s">
        <v>220</v>
      </c>
    </row>
    <row r="5" customFormat="false" ht="15" hidden="false" customHeight="false" outlineLevel="0" collapsed="false">
      <c r="A5" s="12" t="s">
        <v>221</v>
      </c>
      <c r="B5" s="12" t="s">
        <v>222</v>
      </c>
      <c r="C5" s="12" t="s">
        <v>223</v>
      </c>
      <c r="D5" s="17" t="n">
        <v>0.9</v>
      </c>
      <c r="E5" s="17" t="n">
        <v>0</v>
      </c>
      <c r="F5" s="17" t="n">
        <v>0</v>
      </c>
      <c r="G5" s="17" t="n">
        <v>0</v>
      </c>
      <c r="H5" s="17" t="n">
        <v>1</v>
      </c>
      <c r="I5" s="17" t="n">
        <v>0</v>
      </c>
      <c r="J5" s="12" t="s">
        <v>224</v>
      </c>
    </row>
    <row r="6" customFormat="false" ht="15" hidden="false" customHeight="false" outlineLevel="0" collapsed="false">
      <c r="A6" s="12" t="s">
        <v>225</v>
      </c>
      <c r="B6" s="12" t="s">
        <v>226</v>
      </c>
      <c r="C6" s="12" t="s">
        <v>223</v>
      </c>
      <c r="D6" s="17" t="n">
        <v>1</v>
      </c>
      <c r="E6" s="17" t="n">
        <v>0</v>
      </c>
      <c r="F6" s="17" t="n">
        <v>0</v>
      </c>
      <c r="G6" s="17" t="n">
        <v>0</v>
      </c>
      <c r="H6" s="17" t="n">
        <v>1</v>
      </c>
      <c r="I6" s="17" t="n">
        <v>0</v>
      </c>
      <c r="J6" s="12" t="s">
        <v>227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3" t="s">
        <v>228</v>
      </c>
      <c r="B8" s="2"/>
      <c r="C8" s="2"/>
      <c r="D8" s="2"/>
      <c r="E8" s="2"/>
      <c r="F8" s="2"/>
      <c r="G8" s="2"/>
      <c r="H8" s="2"/>
      <c r="I8" s="2"/>
      <c r="J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1" t="s">
        <v>185</v>
      </c>
      <c r="B1" s="11" t="s">
        <v>229</v>
      </c>
      <c r="C1" s="11" t="s">
        <v>205</v>
      </c>
      <c r="D1" s="11" t="s">
        <v>230</v>
      </c>
      <c r="E1" s="11" t="s">
        <v>231</v>
      </c>
      <c r="F1" s="11" t="s">
        <v>190</v>
      </c>
      <c r="G1" s="11" t="s">
        <v>193</v>
      </c>
    </row>
    <row r="2" customFormat="false" ht="15" hidden="false" customHeight="false" outlineLevel="0" collapsed="false">
      <c r="A2" s="12" t="s">
        <v>232</v>
      </c>
      <c r="B2" s="12" t="s">
        <v>233</v>
      </c>
      <c r="C2" s="12" t="s">
        <v>234</v>
      </c>
      <c r="D2" s="17" t="n">
        <v>0.7</v>
      </c>
      <c r="E2" s="17" t="n">
        <v>0</v>
      </c>
      <c r="F2" s="17" t="n">
        <v>1</v>
      </c>
      <c r="G2" s="12" t="s">
        <v>235</v>
      </c>
    </row>
    <row r="3" customFormat="false" ht="15" hidden="false" customHeight="false" outlineLevel="0" collapsed="false">
      <c r="A3" s="12" t="s">
        <v>236</v>
      </c>
      <c r="B3" s="12" t="s">
        <v>233</v>
      </c>
      <c r="C3" s="12" t="s">
        <v>237</v>
      </c>
      <c r="D3" s="17" t="n">
        <v>0.95</v>
      </c>
      <c r="E3" s="17" t="n">
        <v>0.2</v>
      </c>
      <c r="F3" s="17" t="n">
        <v>1</v>
      </c>
      <c r="G3" s="12" t="s">
        <v>238</v>
      </c>
    </row>
    <row r="4" customFormat="false" ht="15" hidden="false" customHeight="false" outlineLevel="0" collapsed="false">
      <c r="A4" s="12" t="s">
        <v>239</v>
      </c>
      <c r="B4" s="12" t="s">
        <v>233</v>
      </c>
      <c r="C4" s="12" t="s">
        <v>240</v>
      </c>
      <c r="D4" s="17" t="n">
        <v>0.98</v>
      </c>
      <c r="E4" s="17" t="n">
        <v>0.25</v>
      </c>
      <c r="F4" s="17" t="n">
        <v>0.85</v>
      </c>
      <c r="G4" s="12" t="s">
        <v>241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3" t="s">
        <v>242</v>
      </c>
      <c r="B6" s="2"/>
      <c r="C6" s="2"/>
      <c r="D6" s="2"/>
      <c r="E6" s="2"/>
      <c r="F6" s="2"/>
      <c r="G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243</v>
      </c>
      <c r="B1" s="2"/>
      <c r="C1" s="2"/>
      <c r="D1" s="2"/>
    </row>
    <row r="2" customFormat="false" ht="15" hidden="false" customHeight="false" outlineLevel="0" collapsed="false">
      <c r="A2" s="3" t="s">
        <v>244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11" t="s">
        <v>245</v>
      </c>
      <c r="B4" s="11" t="s">
        <v>51</v>
      </c>
      <c r="C4" s="11" t="s">
        <v>54</v>
      </c>
      <c r="D4" s="11" t="s">
        <v>61</v>
      </c>
    </row>
    <row r="5" customFormat="false" ht="15" hidden="false" customHeight="false" outlineLevel="0" collapsed="false">
      <c r="A5" s="6" t="s">
        <v>246</v>
      </c>
      <c r="B5" s="18" t="s">
        <v>197</v>
      </c>
      <c r="C5" s="19"/>
      <c r="D5" s="3" t="s">
        <v>247</v>
      </c>
    </row>
    <row r="6" customFormat="false" ht="15" hidden="false" customHeight="false" outlineLevel="0" collapsed="false">
      <c r="A6" s="6" t="s">
        <v>248</v>
      </c>
      <c r="B6" s="18" t="s">
        <v>236</v>
      </c>
      <c r="C6" s="19"/>
      <c r="D6" s="3" t="s">
        <v>249</v>
      </c>
    </row>
    <row r="7" customFormat="false" ht="15" hidden="false" customHeight="false" outlineLevel="0" collapsed="false">
      <c r="A7" s="6" t="s">
        <v>250</v>
      </c>
      <c r="B7" s="18" t="n">
        <v>6</v>
      </c>
      <c r="C7" s="19" t="s">
        <v>251</v>
      </c>
      <c r="D7" s="3" t="s">
        <v>252</v>
      </c>
    </row>
    <row r="8" customFormat="false" ht="15" hidden="false" customHeight="false" outlineLevel="0" collapsed="false">
      <c r="A8" s="6" t="s">
        <v>253</v>
      </c>
      <c r="B8" s="18" t="n">
        <v>400</v>
      </c>
      <c r="C8" s="19" t="s">
        <v>254</v>
      </c>
      <c r="D8" s="3" t="s">
        <v>255</v>
      </c>
    </row>
    <row r="9" customFormat="false" ht="15" hidden="false" customHeight="false" outlineLevel="0" collapsed="false">
      <c r="A9" s="6" t="s">
        <v>256</v>
      </c>
      <c r="B9" s="18" t="n">
        <v>100</v>
      </c>
      <c r="C9" s="19" t="s">
        <v>254</v>
      </c>
      <c r="D9" s="3"/>
    </row>
    <row r="10" customFormat="false" ht="15" hidden="false" customHeight="false" outlineLevel="0" collapsed="false">
      <c r="A10" s="6" t="s">
        <v>257</v>
      </c>
      <c r="B10" s="18" t="s">
        <v>258</v>
      </c>
      <c r="C10" s="19"/>
      <c r="D10" s="3" t="s">
        <v>259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0" t="s">
        <v>260</v>
      </c>
      <c r="B12" s="20"/>
      <c r="C12" s="20"/>
      <c r="D12" s="20"/>
    </row>
    <row r="13" customFormat="false" ht="15" hidden="false" customHeight="false" outlineLevel="0" collapsed="false">
      <c r="A13" s="19" t="s">
        <v>261</v>
      </c>
      <c r="B13" s="21" t="n">
        <f aca="false">INDEX(Product_Design!$C$2:$C$4,MATCH(ctx_design,Product_Design!$A$2:$A$4,0))</f>
        <v>12</v>
      </c>
      <c r="C13" s="19" t="s">
        <v>262</v>
      </c>
      <c r="D13" s="2"/>
    </row>
    <row r="14" customFormat="false" ht="15" hidden="false" customHeight="false" outlineLevel="0" collapsed="false">
      <c r="A14" s="19" t="s">
        <v>263</v>
      </c>
      <c r="B14" s="21" t="n">
        <f aca="false">INDEX(Product_Design!$D$2:$D$4,MATCH(ctx_design,Product_Design!$A$2:$A$4,0))</f>
        <v>0.9</v>
      </c>
      <c r="C14" s="19" t="s">
        <v>97</v>
      </c>
      <c r="D14" s="2"/>
    </row>
    <row r="15" customFormat="false" ht="15" hidden="false" customHeight="false" outlineLevel="0" collapsed="false">
      <c r="A15" s="19" t="s">
        <v>264</v>
      </c>
      <c r="B15" s="21" t="n">
        <f aca="false">INDEX(Product_Design!$E$2:$E$4,MATCH(ctx_design,Product_Design!$A$2:$A$4,0))</f>
        <v>1.15</v>
      </c>
      <c r="C15" s="19" t="s">
        <v>265</v>
      </c>
      <c r="D15" s="2"/>
    </row>
    <row r="16" customFormat="false" ht="15" hidden="false" customHeight="false" outlineLevel="0" collapsed="false">
      <c r="A16" s="19" t="s">
        <v>266</v>
      </c>
      <c r="B16" s="21" t="n">
        <f aca="false">INDEX(Product_Design!$F$2:$F$4,MATCH(ctx_design,Product_Design!$A$2:$A$4,0))</f>
        <v>1.1</v>
      </c>
      <c r="C16" s="19" t="s">
        <v>265</v>
      </c>
      <c r="D16" s="2"/>
    </row>
    <row r="17" customFormat="false" ht="15" hidden="false" customHeight="false" outlineLevel="0" collapsed="false">
      <c r="A17" s="19" t="s">
        <v>267</v>
      </c>
      <c r="B17" s="21" t="n">
        <f aca="false">INDEX(Product_Design!$G$2:$G$4,MATCH(ctx_design,Product_Design!$A$2:$A$4,0))</f>
        <v>0.9</v>
      </c>
      <c r="C17" s="19" t="s">
        <v>265</v>
      </c>
      <c r="D17" s="2"/>
    </row>
    <row r="18" customFormat="false" ht="15" hidden="false" customHeight="false" outlineLevel="0" collapsed="false">
      <c r="A18" s="19" t="s">
        <v>268</v>
      </c>
      <c r="B18" s="21" t="n">
        <f aca="false">INDEX(Product_Design!$H$2:$H$4,MATCH(ctx_design,Product_Design!$A$2:$A$4,0))</f>
        <v>40</v>
      </c>
      <c r="C18" s="19" t="s">
        <v>251</v>
      </c>
      <c r="D18" s="2"/>
    </row>
    <row r="19" customFormat="false" ht="15" hidden="false" customHeight="false" outlineLevel="0" collapsed="false">
      <c r="A19" s="19" t="s">
        <v>269</v>
      </c>
      <c r="B19" s="21" t="n">
        <f aca="false">INDEX(Product_Design!$I$2:$I$4,MATCH(ctx_design,Product_Design!$A$2:$A$4,0))</f>
        <v>0.9</v>
      </c>
      <c r="C19" s="19" t="s">
        <v>97</v>
      </c>
      <c r="D19" s="2"/>
    </row>
    <row r="20" customFormat="false" ht="15" hidden="false" customHeight="false" outlineLevel="0" collapsed="false">
      <c r="A20" s="19" t="s">
        <v>270</v>
      </c>
      <c r="B20" s="21" t="n">
        <f aca="false">INDEX(Business_Models!$D$2:$D$4,MATCH(ctx_bm,Business_Models!$A$2:$A$4,0))</f>
        <v>0.95</v>
      </c>
      <c r="C20" s="19" t="s">
        <v>97</v>
      </c>
      <c r="D20" s="2"/>
    </row>
    <row r="21" customFormat="false" ht="15" hidden="false" customHeight="false" outlineLevel="0" collapsed="false">
      <c r="A21" s="19" t="s">
        <v>271</v>
      </c>
      <c r="B21" s="21" t="n">
        <f aca="false">INDEX(Business_Models!$E$2:$E$4,MATCH(ctx_bm,Business_Models!$A$2:$A$4,0))</f>
        <v>0.2</v>
      </c>
      <c r="C21" s="19" t="s">
        <v>97</v>
      </c>
      <c r="D21" s="2"/>
    </row>
    <row r="22" customFormat="false" ht="15" hidden="false" customHeight="false" outlineLevel="0" collapsed="false">
      <c r="A22" s="19" t="s">
        <v>272</v>
      </c>
      <c r="B22" s="21" t="n">
        <f aca="false">INDEX(Business_Models!$F$2:$F$4,MATCH(ctx_bm,Business_Models!$A$2:$A$4,0))</f>
        <v>1</v>
      </c>
      <c r="C22" s="19" t="s">
        <v>265</v>
      </c>
      <c r="D22" s="2"/>
    </row>
    <row r="23" customFormat="false" ht="15" hidden="false" customHeight="false" outlineLevel="0" collapsed="false">
      <c r="A23" s="2"/>
      <c r="B23" s="2"/>
      <c r="C23" s="2"/>
      <c r="D23" s="2"/>
    </row>
    <row r="24" customFormat="false" ht="15" hidden="false" customHeight="false" outlineLevel="0" collapsed="false">
      <c r="A24" s="20" t="s">
        <v>273</v>
      </c>
      <c r="B24" s="20"/>
      <c r="C24" s="20"/>
      <c r="D24" s="20"/>
    </row>
    <row r="25" customFormat="false" ht="15" hidden="false" customHeight="false" outlineLevel="0" collapsed="false">
      <c r="A25" s="19" t="s">
        <v>274</v>
      </c>
      <c r="B25" s="22" t="n">
        <f aca="false">(1-recycled_content)*ef_primary+recycled_content*ef_secondary</f>
        <v>4.56</v>
      </c>
      <c r="C25" s="19" t="s">
        <v>64</v>
      </c>
      <c r="D25" s="3" t="s">
        <v>275</v>
      </c>
    </row>
    <row r="26" customFormat="false" ht="15" hidden="false" customHeight="false" outlineLevel="0" collapsed="false">
      <c r="A26" s="19" t="s">
        <v>276</v>
      </c>
      <c r="B26" s="22" t="n">
        <f aca="false">transport_ef/transport_load_factor</f>
        <v>0.0966666666666667</v>
      </c>
      <c r="C26" s="19" t="s">
        <v>277</v>
      </c>
      <c r="D26" s="3" t="s">
        <v>278</v>
      </c>
    </row>
    <row r="27" customFormat="false" ht="15" hidden="false" customHeight="false" outlineLevel="0" collapsed="false">
      <c r="A27" s="19" t="s">
        <v>279</v>
      </c>
      <c r="B27" s="22" t="n">
        <f aca="false">lme_price_usd_t*usd_eur/1000</f>
        <v>2.79</v>
      </c>
      <c r="C27" s="19" t="s">
        <v>151</v>
      </c>
      <c r="D27" s="3" t="s">
        <v>280</v>
      </c>
    </row>
    <row r="28" customFormat="false" ht="15" hidden="false" customHeight="false" outlineLevel="0" collapsed="false">
      <c r="A28" s="19" t="s">
        <v>281</v>
      </c>
      <c r="B28" s="22" t="n">
        <f aca="false">collection_rate*melt_yield</f>
        <v>0.9025</v>
      </c>
      <c r="C28" s="19" t="s">
        <v>97</v>
      </c>
      <c r="D28" s="3" t="s">
        <v>282</v>
      </c>
    </row>
    <row r="29" customFormat="false" ht="15" hidden="false" customHeight="false" outlineLevel="0" collapsed="false">
      <c r="A29" s="19" t="s">
        <v>283</v>
      </c>
      <c r="B29" s="22" t="n">
        <f aca="false">ef_primary-ef_secondary</f>
        <v>5.8</v>
      </c>
      <c r="C29" s="19" t="s">
        <v>64</v>
      </c>
      <c r="D29" s="3" t="s">
        <v>284</v>
      </c>
    </row>
    <row r="30" customFormat="false" ht="15" hidden="false" customHeight="false" outlineLevel="0" collapsed="false">
      <c r="A30" s="19" t="s">
        <v>285</v>
      </c>
      <c r="B30" s="22" t="n">
        <f aca="false">MAX(0,1-ctx_event_km/2000)</f>
        <v>0.8</v>
      </c>
      <c r="C30" s="19" t="s">
        <v>97</v>
      </c>
      <c r="D30" s="3" t="s">
        <v>286</v>
      </c>
    </row>
  </sheetData>
  <dataValidations count="4">
    <dataValidation allowBlank="false" errorStyle="stop" operator="between" showDropDown="false" showErrorMessage="false" showInputMessage="false" sqref="B5" type="list">
      <formula1>"A,B,C"</formula1>
      <formula2>0</formula2>
    </dataValidation>
    <dataValidation allowBlank="false" errorStyle="stop" operator="between" showDropDown="false" showErrorMessage="false" showInputMessage="false" sqref="B6" type="list">
      <formula1>"sale,rental,paas"</formula1>
      <formula2>0</formula2>
    </dataValidation>
    <dataValidation allowBlank="false" errorStyle="stop" operator="between" showDropDown="false" showErrorMessage="false" showInputMessage="false" sqref="B10" type="list">
      <formula1>"net_scrap,cut_off"</formula1>
      <formula2>0</formula2>
    </dataValidation>
    <dataValidation allowBlank="false" errorStyle="stop" operator="between" showDropDown="false" showErrorMessage="false" showInputMessage="false" sqref="B7" type="whole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287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288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289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292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293</v>
      </c>
      <c r="B6" s="12" t="s">
        <v>294</v>
      </c>
      <c r="C6" s="23" t="s">
        <v>295</v>
      </c>
      <c r="D6" s="24" t="n">
        <f aca="false">IF(INDEX(Strategies!$C$2:$C$6,MATCH(D4,Strategies!$A$2:$A$6,0))="single",1,0)</f>
        <v>0</v>
      </c>
      <c r="E6" s="24" t="n">
        <f aca="false">IF(INDEX(Strategies!$C$2:$C$6,MATCH(E4,Strategies!$A$2:$A$6,0))="single",1,0)</f>
        <v>0</v>
      </c>
      <c r="F6" s="24" t="n">
        <f aca="false">IF(INDEX(Strategies!$C$2:$C$6,MATCH(F4,Strategies!$A$2:$A$6,0))="single",1,0)</f>
        <v>0</v>
      </c>
      <c r="G6" s="24" t="n">
        <f aca="false">IF(INDEX(Strategies!$C$2:$C$6,MATCH(G4,Strategies!$A$2:$A$6,0))="single",1,0)</f>
        <v>1</v>
      </c>
      <c r="H6" s="24" t="n">
        <f aca="false">IF(INDEX(Strategies!$C$2:$C$6,MATCH(H4,Strategies!$A$2:$A$6,0))="single",1,0)</f>
        <v>1</v>
      </c>
      <c r="I6" s="23"/>
    </row>
    <row r="7" customFormat="false" ht="15" hidden="false" customHeight="false" outlineLevel="0" collapsed="false">
      <c r="A7" s="12" t="s">
        <v>296</v>
      </c>
      <c r="B7" s="12" t="s">
        <v>294</v>
      </c>
      <c r="C7" s="23"/>
      <c r="D7" s="24" t="n">
        <f aca="false">INDEX(Strategies!$F$2:$F$6,MATCH(D4,Strategies!$A$2:$A$6,0))</f>
        <v>0</v>
      </c>
      <c r="E7" s="24" t="n">
        <f aca="false">INDEX(Strategies!$F$2:$F$6,MATCH(E4,Strategies!$A$2:$A$6,0))</f>
        <v>1</v>
      </c>
      <c r="F7" s="24" t="n">
        <f aca="false">INDEX(Strategies!$F$2:$F$6,MATCH(F4,Strategies!$A$2:$A$6,0))</f>
        <v>0</v>
      </c>
      <c r="G7" s="24" t="n">
        <f aca="false">INDEX(Strategies!$F$2:$F$6,MATCH(G4,Strategies!$A$2:$A$6,0))</f>
        <v>0</v>
      </c>
      <c r="H7" s="24" t="n">
        <f aca="false">INDEX(Strategies!$F$2:$F$6,MATCH(H4,Strategies!$A$2:$A$6,0))</f>
        <v>0</v>
      </c>
      <c r="I7" s="23"/>
    </row>
    <row r="8" customFormat="false" ht="15" hidden="false" customHeight="false" outlineLevel="0" collapsed="false">
      <c r="A8" s="12" t="s">
        <v>297</v>
      </c>
      <c r="B8" s="12" t="s">
        <v>294</v>
      </c>
      <c r="C8" s="23"/>
      <c r="D8" s="24" t="n">
        <f aca="false">INDEX(Strategies!$G$2:$G$6,MATCH(D4,Strategies!$A$2:$A$6,0))</f>
        <v>0</v>
      </c>
      <c r="E8" s="24" t="n">
        <f aca="false">INDEX(Strategies!$G$2:$G$6,MATCH(E4,Strategies!$A$2:$A$6,0))</f>
        <v>0</v>
      </c>
      <c r="F8" s="24" t="n">
        <f aca="false">INDEX(Strategies!$G$2:$G$6,MATCH(F4,Strategies!$A$2:$A$6,0))</f>
        <v>1</v>
      </c>
      <c r="G8" s="24" t="n">
        <f aca="false">INDEX(Strategies!$G$2:$G$6,MATCH(G4,Strategies!$A$2:$A$6,0))</f>
        <v>0</v>
      </c>
      <c r="H8" s="24" t="n">
        <f aca="false">INDEX(Strategies!$G$2:$G$6,MATCH(H4,Strategies!$A$2:$A$6,0))</f>
        <v>0</v>
      </c>
      <c r="I8" s="23"/>
    </row>
    <row r="9" customFormat="false" ht="15" hidden="false" customHeight="false" outlineLevel="0" collapsed="false">
      <c r="A9" s="12" t="s">
        <v>298</v>
      </c>
      <c r="B9" s="12" t="s">
        <v>265</v>
      </c>
      <c r="C9" s="23"/>
      <c r="D9" s="25" t="n">
        <f aca="false">INDEX(Strategies!$H$2:$H$6,MATCH(D4,Strategies!$A$2:$A$6,0))</f>
        <v>1</v>
      </c>
      <c r="E9" s="25" t="n">
        <f aca="false">INDEX(Strategies!$H$2:$H$6,MATCH(E4,Strategies!$A$2:$A$6,0))</f>
        <v>1</v>
      </c>
      <c r="F9" s="25" t="n">
        <f aca="false">INDEX(Strategies!$H$2:$H$6,MATCH(F4,Strategies!$A$2:$A$6,0))</f>
        <v>0.6</v>
      </c>
      <c r="G9" s="25" t="n">
        <f aca="false">INDEX(Strategies!$H$2:$H$6,MATCH(G4,Strategies!$A$2:$A$6,0))</f>
        <v>1</v>
      </c>
      <c r="H9" s="25" t="n">
        <f aca="false">INDEX(Strategies!$H$2:$H$6,MATCH(H4,Strategies!$A$2:$A$6,0))</f>
        <v>1</v>
      </c>
      <c r="I9" s="23"/>
    </row>
    <row r="10" customFormat="false" ht="15" hidden="false" customHeight="false" outlineLevel="0" collapsed="false">
      <c r="A10" s="12" t="s">
        <v>299</v>
      </c>
      <c r="B10" s="12" t="s">
        <v>300</v>
      </c>
      <c r="C10" s="23"/>
      <c r="D10" s="25" t="n">
        <f aca="false">INDEX(Strategies!$I$2:$I$6,MATCH(D4,Strategies!$A$2:$A$6,0))</f>
        <v>0.05</v>
      </c>
      <c r="E10" s="25" t="n">
        <f aca="false">INDEX(Strategies!$I$2:$I$6,MATCH(E4,Strategies!$A$2:$A$6,0))</f>
        <v>0.4</v>
      </c>
      <c r="F10" s="25" t="n">
        <f aca="false">INDEX(Strategies!$I$2:$I$6,MATCH(F4,Strategies!$A$2:$A$6,0))</f>
        <v>0.25</v>
      </c>
      <c r="G10" s="25" t="n">
        <f aca="false">INDEX(Strategies!$I$2:$I$6,MATCH(G4,Strategies!$A$2:$A$6,0))</f>
        <v>0</v>
      </c>
      <c r="H10" s="25" t="n">
        <f aca="false">INDEX(Strategies!$I$2:$I$6,MATCH(H4,Strategies!$A$2:$A$6,0))</f>
        <v>0</v>
      </c>
      <c r="I10" s="23"/>
    </row>
    <row r="11" customFormat="false" ht="15" hidden="false" customHeight="false" outlineLevel="0" collapsed="false">
      <c r="A11" s="12" t="s">
        <v>301</v>
      </c>
      <c r="B11" s="12" t="s">
        <v>97</v>
      </c>
      <c r="C11" s="23"/>
      <c r="D11" s="25" t="n">
        <f aca="false">INDEX(Strategies!$D$2:$D$6,MATCH(D4,Strategies!$A$2:$A$6,0))</f>
        <v>0.85</v>
      </c>
      <c r="E11" s="25" t="n">
        <f aca="false">INDEX(Strategies!$D$2:$D$6,MATCH(E4,Strategies!$A$2:$A$6,0))</f>
        <v>0.75</v>
      </c>
      <c r="F11" s="25" t="n">
        <f aca="false">INDEX(Strategies!$D$2:$D$6,MATCH(F4,Strategies!$A$2:$A$6,0))</f>
        <v>0.65</v>
      </c>
      <c r="G11" s="25" t="n">
        <f aca="false">INDEX(Strategies!$D$2:$D$6,MATCH(G4,Strategies!$A$2:$A$6,0))</f>
        <v>0.9</v>
      </c>
      <c r="H11" s="25" t="n">
        <f aca="false">INDEX(Strategies!$D$2:$D$6,MATCH(H4,Strategies!$A$2:$A$6,0))</f>
        <v>1</v>
      </c>
      <c r="I11" s="23"/>
    </row>
    <row r="12" customFormat="false" ht="15" hidden="false" customHeight="false" outlineLevel="0" collapsed="false">
      <c r="A12" s="12" t="s">
        <v>302</v>
      </c>
      <c r="B12" s="12" t="s">
        <v>294</v>
      </c>
      <c r="C12" s="23"/>
      <c r="D12" s="24" t="n">
        <f aca="false">IF(D4="disposal",1,0)</f>
        <v>0</v>
      </c>
      <c r="E12" s="24" t="n">
        <f aca="false">IF(E4="disposal",1,0)</f>
        <v>0</v>
      </c>
      <c r="F12" s="24" t="n">
        <f aca="false">IF(F4="disposal",1,0)</f>
        <v>0</v>
      </c>
      <c r="G12" s="24" t="n">
        <f aca="false">IF(G4="disposal",1,0)</f>
        <v>0</v>
      </c>
      <c r="H12" s="24" t="n">
        <f aca="false">IF(H4="disposal",1,0)</f>
        <v>1</v>
      </c>
      <c r="I12" s="23"/>
    </row>
    <row r="13" customFormat="false" ht="15" hidden="false" customHeight="false" outlineLevel="0" collapsed="false">
      <c r="A13" s="20" t="s">
        <v>303</v>
      </c>
      <c r="B13" s="20"/>
      <c r="C13" s="20"/>
      <c r="D13" s="20"/>
      <c r="E13" s="20"/>
      <c r="F13" s="20"/>
      <c r="G13" s="20"/>
      <c r="H13" s="20"/>
      <c r="I13" s="20"/>
    </row>
    <row r="14" customFormat="false" ht="15" hidden="false" customHeight="false" outlineLevel="0" collapsed="false">
      <c r="A14" s="12" t="s">
        <v>304</v>
      </c>
      <c r="B14" s="12" t="s">
        <v>251</v>
      </c>
      <c r="C14" s="23" t="s">
        <v>305</v>
      </c>
      <c r="D14" s="24" t="n">
        <f aca="false">IF(D6=1,1,MIN(ROUND(ctx_n,0),d_life))</f>
        <v>6</v>
      </c>
      <c r="E14" s="24" t="n">
        <f aca="false">IF(E6=1,1,MIN(ROUND(ctx_n,0),d_life))</f>
        <v>6</v>
      </c>
      <c r="F14" s="24" t="n">
        <f aca="false">IF(F6=1,1,MIN(ROUND(ctx_n,0),d_life))</f>
        <v>6</v>
      </c>
      <c r="G14" s="24" t="n">
        <f aca="false">IF(G6=1,1,MIN(ROUND(ctx_n,0),d_life))</f>
        <v>1</v>
      </c>
      <c r="H14" s="24" t="n">
        <f aca="false">IF(H6=1,1,MIN(ROUND(ctx_n,0),d_life))</f>
        <v>1</v>
      </c>
      <c r="I14" s="23"/>
    </row>
    <row r="15" customFormat="false" ht="15" hidden="false" customHeight="false" outlineLevel="0" collapsed="false">
      <c r="A15" s="12" t="s">
        <v>306</v>
      </c>
      <c r="B15" s="12" t="s">
        <v>97</v>
      </c>
      <c r="C15" s="23" t="s">
        <v>307</v>
      </c>
      <c r="D15" s="26" t="n">
        <f aca="false">IF(D6=1,0,damage_rate*d_dmg*bm_dmg*D9)</f>
        <v>0.072</v>
      </c>
      <c r="E15" s="26" t="n">
        <f aca="false">IF(E6=1,0,damage_rate*d_dmg*bm_dmg*E9)</f>
        <v>0.072</v>
      </c>
      <c r="F15" s="26" t="n">
        <f aca="false">IF(F6=1,0,damage_rate*d_dmg*bm_dmg*F9)</f>
        <v>0.0432</v>
      </c>
      <c r="G15" s="26" t="n">
        <f aca="false">IF(G6=1,0,damage_rate*d_dmg*bm_dmg*G9)</f>
        <v>0</v>
      </c>
      <c r="H15" s="26" t="n">
        <f aca="false">IF(H6=1,0,damage_rate*d_dmg*bm_dmg*H9)</f>
        <v>0</v>
      </c>
      <c r="I15" s="23"/>
    </row>
    <row r="16" customFormat="false" ht="15" hidden="false" customHeight="false" outlineLevel="0" collapsed="false">
      <c r="A16" s="12" t="s">
        <v>308</v>
      </c>
      <c r="B16" s="12" t="s">
        <v>97</v>
      </c>
      <c r="C16" s="23" t="s">
        <v>309</v>
      </c>
      <c r="D16" s="26" t="n">
        <f aca="false">IF(D7=1,D15*(1-d_repair),D15)</f>
        <v>0.072</v>
      </c>
      <c r="E16" s="26" t="n">
        <f aca="false">IF(E7=1,E15*(1-d_repair),E15)</f>
        <v>0.0072</v>
      </c>
      <c r="F16" s="26" t="n">
        <f aca="false">IF(F7=1,F15*(1-d_repair),F15)</f>
        <v>0.0432</v>
      </c>
      <c r="G16" s="26" t="n">
        <f aca="false">IF(G7=1,G15*(1-d_repair),G15)</f>
        <v>0</v>
      </c>
      <c r="H16" s="26" t="n">
        <f aca="false">IF(H7=1,H15*(1-d_repair),H15)</f>
        <v>0</v>
      </c>
      <c r="I16" s="23"/>
    </row>
    <row r="17" customFormat="false" ht="15" hidden="false" customHeight="false" outlineLevel="0" collapsed="false">
      <c r="A17" s="12" t="s">
        <v>310</v>
      </c>
      <c r="B17" s="12" t="s">
        <v>97</v>
      </c>
      <c r="C17" s="23" t="s">
        <v>311</v>
      </c>
      <c r="D17" s="26" t="n">
        <f aca="false">IF(D6=1,1,1-(1-D16)*bm_redeploy)</f>
        <v>0.1184</v>
      </c>
      <c r="E17" s="26" t="n">
        <f aca="false">IF(E6=1,1,1-(1-E16)*bm_redeploy)</f>
        <v>0.05684</v>
      </c>
      <c r="F17" s="26" t="n">
        <f aca="false">IF(F6=1,1,1-(1-F16)*bm_redeploy)</f>
        <v>0.09104</v>
      </c>
      <c r="G17" s="26" t="n">
        <f aca="false">IF(G6=1,1,1-(1-G16)*bm_redeploy)</f>
        <v>1</v>
      </c>
      <c r="H17" s="26" t="n">
        <f aca="false">IF(H6=1,1,1-(1-H16)*bm_redeploy)</f>
        <v>1</v>
      </c>
      <c r="I17" s="23"/>
    </row>
    <row r="18" customFormat="false" ht="15" hidden="false" customHeight="false" outlineLevel="0" collapsed="false">
      <c r="A18" s="27" t="s">
        <v>312</v>
      </c>
      <c r="B18" s="27" t="s">
        <v>313</v>
      </c>
      <c r="C18" s="23" t="s">
        <v>314</v>
      </c>
      <c r="D18" s="28" t="n">
        <f aca="false">IF(D6=1,1,IF(D17&lt;=0.000000000001,MAX(D14,1),(1-(1-D17)^MAX(D14,1))/D17))</f>
        <v>4.48063008961594</v>
      </c>
      <c r="E18" s="28" t="n">
        <f aca="false">IF(E6=1,1,IF(E17&lt;=0.000000000001,MAX(E14,1),(1-(1-E17)^MAX(E14,1))/E17))</f>
        <v>5.20932317875647</v>
      </c>
      <c r="F18" s="28" t="n">
        <f aca="false">IF(F6=1,1,IF(F17&lt;=0.000000000001,MAX(F14,1),(1-(1-F17)^MAX(F14,1))/F17))</f>
        <v>4.78925307426982</v>
      </c>
      <c r="G18" s="28" t="n">
        <f aca="false">IF(G6=1,1,IF(G17&lt;=0.000000000001,MAX(G14,1),(1-(1-G17)^MAX(G14,1))/G17))</f>
        <v>1</v>
      </c>
      <c r="H18" s="28" t="n">
        <f aca="false">IF(H6=1,1,IF(H17&lt;=0.000000000001,MAX(H14,1),(1-(1-H17)^MAX(H14,1))/H17))</f>
        <v>1</v>
      </c>
      <c r="I18" s="23" t="s">
        <v>315</v>
      </c>
    </row>
    <row r="19" customFormat="false" ht="15" hidden="false" customHeight="false" outlineLevel="0" collapsed="false">
      <c r="A19" s="12" t="s">
        <v>316</v>
      </c>
      <c r="B19" s="12" t="s">
        <v>317</v>
      </c>
      <c r="C19" s="23"/>
      <c r="D19" s="29" t="n">
        <f aca="false">D18-1</f>
        <v>3.48063008961594</v>
      </c>
      <c r="E19" s="29" t="n">
        <f aca="false">E18-1</f>
        <v>4.20932317875647</v>
      </c>
      <c r="F19" s="29" t="n">
        <f aca="false">F18-1</f>
        <v>3.78925307426982</v>
      </c>
      <c r="G19" s="29" t="n">
        <f aca="false">G18-1</f>
        <v>0</v>
      </c>
      <c r="H19" s="29" t="n">
        <f aca="false">H18-1</f>
        <v>0</v>
      </c>
      <c r="I19" s="23"/>
    </row>
    <row r="20" customFormat="false" ht="15" hidden="false" customHeight="false" outlineLevel="0" collapsed="false">
      <c r="A20" s="12" t="s">
        <v>318</v>
      </c>
      <c r="B20" s="12" t="s">
        <v>319</v>
      </c>
      <c r="C20" s="23"/>
      <c r="D20" s="30" t="n">
        <f aca="false">IF(AND(D6=0,D7=1),D15*d_repair,0)</f>
        <v>0</v>
      </c>
      <c r="E20" s="30" t="n">
        <f aca="false">IF(AND(E6=0,E7=1),E15*d_repair,0)</f>
        <v>0.0648</v>
      </c>
      <c r="F20" s="30" t="n">
        <f aca="false">IF(AND(F6=0,F7=1),F15*d_repair,0)</f>
        <v>0</v>
      </c>
      <c r="G20" s="30" t="n">
        <f aca="false">IF(AND(G6=0,G7=1),G15*d_repair,0)</f>
        <v>0</v>
      </c>
      <c r="H20" s="30" t="n">
        <f aca="false">IF(AND(H6=0,H7=1),H15*d_repair,0)</f>
        <v>0</v>
      </c>
      <c r="I20" s="23"/>
    </row>
    <row r="21" customFormat="false" ht="15" hidden="false" customHeight="false" outlineLevel="0" collapsed="false">
      <c r="A21" s="12" t="s">
        <v>320</v>
      </c>
      <c r="B21" s="12" t="s">
        <v>321</v>
      </c>
      <c r="C21" s="23" t="s">
        <v>322</v>
      </c>
      <c r="D21" s="24" t="n">
        <f aca="false">IF(D6=1,1,2)</f>
        <v>2</v>
      </c>
      <c r="E21" s="24" t="n">
        <f aca="false">IF(E6=1,1,2)</f>
        <v>2</v>
      </c>
      <c r="F21" s="24" t="n">
        <f aca="false">IF(F6=1,1,2)</f>
        <v>2</v>
      </c>
      <c r="G21" s="24" t="n">
        <f aca="false">IF(G6=1,1,2)</f>
        <v>1</v>
      </c>
      <c r="H21" s="24" t="n">
        <f aca="false">IF(H6=1,1,2)</f>
        <v>1</v>
      </c>
      <c r="I21" s="23"/>
    </row>
    <row r="22" customFormat="false" ht="15" hidden="false" customHeight="false" outlineLevel="0" collapsed="false">
      <c r="A22" s="20" t="s">
        <v>323</v>
      </c>
      <c r="B22" s="20"/>
      <c r="C22" s="20"/>
      <c r="D22" s="20"/>
      <c r="E22" s="20"/>
      <c r="F22" s="20"/>
      <c r="G22" s="20"/>
      <c r="H22" s="20"/>
      <c r="I22" s="20"/>
    </row>
    <row r="23" customFormat="false" ht="15" hidden="false" customHeight="false" outlineLevel="0" collapsed="false">
      <c r="A23" s="12" t="s">
        <v>324</v>
      </c>
      <c r="B23" s="12" t="s">
        <v>97</v>
      </c>
      <c r="C23" s="23" t="s">
        <v>325</v>
      </c>
      <c r="D23" s="26" t="n">
        <f aca="false">IF(D12=1,disposal_recovery,recov_yield)</f>
        <v>0.9025</v>
      </c>
      <c r="E23" s="26" t="n">
        <f aca="false">IF(E12=1,disposal_recovery,recov_yield)</f>
        <v>0.9025</v>
      </c>
      <c r="F23" s="26" t="n">
        <f aca="false">IF(F12=1,disposal_recovery,recov_yield)</f>
        <v>0.9025</v>
      </c>
      <c r="G23" s="26" t="n">
        <f aca="false">IF(G12=1,disposal_recovery,recov_yield)</f>
        <v>0.9025</v>
      </c>
      <c r="H23" s="26" t="n">
        <f aca="false">IF(H12=1,disposal_recovery,recov_yield)</f>
        <v>0.2</v>
      </c>
      <c r="I23" s="23"/>
    </row>
    <row r="24" customFormat="false" ht="15" hidden="false" customHeight="false" outlineLevel="0" collapsed="false">
      <c r="A24" s="12" t="s">
        <v>326</v>
      </c>
      <c r="B24" s="12" t="s">
        <v>262</v>
      </c>
      <c r="C24" s="23" t="s">
        <v>327</v>
      </c>
      <c r="D24" s="29" t="n">
        <f aca="false">IF(ctx_credit="cut_off",0,d_mass*MAX(D23-recycled_content,0))</f>
        <v>7.23</v>
      </c>
      <c r="E24" s="29" t="n">
        <f aca="false">IF(ctx_credit="cut_off",0,d_mass*MAX(E23-recycled_content,0))</f>
        <v>7.23</v>
      </c>
      <c r="F24" s="29" t="n">
        <f aca="false">IF(ctx_credit="cut_off",0,d_mass*MAX(F23-recycled_content,0))</f>
        <v>7.23</v>
      </c>
      <c r="G24" s="29" t="n">
        <f aca="false">IF(ctx_credit="cut_off",0,d_mass*MAX(G23-recycled_content,0))</f>
        <v>7.23</v>
      </c>
      <c r="H24" s="29" t="n">
        <f aca="false">IF(ctx_credit="cut_off",0,d_mass*MAX(H23-recycled_content,0))</f>
        <v>0</v>
      </c>
      <c r="I24" s="23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329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331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332</v>
      </c>
    </row>
    <row r="5" customFormat="false" ht="15" hidden="false" customHeight="false" outlineLevel="0" collapsed="false">
      <c r="A5" s="20" t="s">
        <v>333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20" t="s">
        <v>334</v>
      </c>
      <c r="B6" s="20"/>
      <c r="C6" s="20"/>
      <c r="D6" s="20"/>
      <c r="E6" s="20"/>
      <c r="F6" s="20"/>
      <c r="G6" s="20"/>
      <c r="H6" s="20"/>
      <c r="I6" s="20"/>
    </row>
    <row r="7" customFormat="false" ht="15" hidden="false" customHeight="false" outlineLevel="0" collapsed="false">
      <c r="A7" s="12" t="s">
        <v>335</v>
      </c>
      <c r="B7" s="12" t="s">
        <v>262</v>
      </c>
      <c r="C7" s="23" t="s">
        <v>336</v>
      </c>
      <c r="D7" s="29" t="n">
        <f aca="false">d_mass*(1-recycled_content)</f>
        <v>8.4</v>
      </c>
      <c r="E7" s="29" t="n">
        <f aca="false">d_mass*(1-recycled_content)</f>
        <v>8.4</v>
      </c>
      <c r="F7" s="29" t="n">
        <f aca="false">d_mass*(1-recycled_content)</f>
        <v>8.4</v>
      </c>
      <c r="G7" s="29" t="n">
        <f aca="false">d_mass*(1-recycled_content)</f>
        <v>8.4</v>
      </c>
      <c r="H7" s="29" t="n">
        <f aca="false">d_mass*(1-recycled_content)</f>
        <v>8.4</v>
      </c>
      <c r="I7" s="23" t="s">
        <v>337</v>
      </c>
    </row>
    <row r="8" customFormat="false" ht="15" hidden="false" customHeight="false" outlineLevel="0" collapsed="false">
      <c r="A8" s="12" t="s">
        <v>338</v>
      </c>
      <c r="B8" s="12" t="s">
        <v>262</v>
      </c>
      <c r="C8" s="23" t="s">
        <v>339</v>
      </c>
      <c r="D8" s="29" t="n">
        <f aca="false">d_mass*recycled_content</f>
        <v>3.6</v>
      </c>
      <c r="E8" s="29" t="n">
        <f aca="false">d_mass*recycled_content</f>
        <v>3.6</v>
      </c>
      <c r="F8" s="29" t="n">
        <f aca="false">d_mass*recycled_content</f>
        <v>3.6</v>
      </c>
      <c r="G8" s="29" t="n">
        <f aca="false">d_mass*recycled_content</f>
        <v>3.6</v>
      </c>
      <c r="H8" s="29" t="n">
        <f aca="false">d_mass*recycled_content</f>
        <v>3.6</v>
      </c>
      <c r="I8" s="23" t="s">
        <v>340</v>
      </c>
    </row>
    <row r="9" customFormat="false" ht="15" hidden="false" customHeight="false" outlineLevel="0" collapsed="false">
      <c r="A9" s="12" t="s">
        <v>341</v>
      </c>
      <c r="B9" s="12" t="s">
        <v>342</v>
      </c>
      <c r="C9" s="23" t="s">
        <v>343</v>
      </c>
      <c r="D9" s="29" t="n">
        <f aca="false">d_mass*e_fab*d_fab</f>
        <v>20.7</v>
      </c>
      <c r="E9" s="29" t="n">
        <f aca="false">d_mass*e_fab*d_fab</f>
        <v>20.7</v>
      </c>
      <c r="F9" s="29" t="n">
        <f aca="false">d_mass*e_fab*d_fab</f>
        <v>20.7</v>
      </c>
      <c r="G9" s="29" t="n">
        <f aca="false">d_mass*e_fab*d_fab</f>
        <v>20.7</v>
      </c>
      <c r="H9" s="29" t="n">
        <f aca="false">d_mass*e_fab*d_fab</f>
        <v>20.7</v>
      </c>
      <c r="I9" s="23" t="s">
        <v>344</v>
      </c>
    </row>
    <row r="10" customFormat="false" ht="15" hidden="false" customHeight="false" outlineLevel="0" collapsed="false">
      <c r="A10" s="20" t="s">
        <v>345</v>
      </c>
      <c r="B10" s="20"/>
      <c r="C10" s="20"/>
      <c r="D10" s="20"/>
      <c r="E10" s="20"/>
      <c r="F10" s="20"/>
      <c r="G10" s="20"/>
      <c r="H10" s="20"/>
      <c r="I10" s="20"/>
    </row>
    <row r="11" customFormat="false" ht="15" hidden="false" customHeight="false" outlineLevel="0" collapsed="false">
      <c r="A11" s="12" t="s">
        <v>346</v>
      </c>
      <c r="B11" s="12" t="s">
        <v>347</v>
      </c>
      <c r="C11" s="23" t="s">
        <v>348</v>
      </c>
      <c r="D11" s="29" t="n">
        <f aca="false">Calc!D18*Calc!D21*d_mass/1000*ctx_event_km</f>
        <v>43.0140488603131</v>
      </c>
      <c r="E11" s="29" t="n">
        <f aca="false">Calc!E18*Calc!E21*d_mass/1000*ctx_event_km</f>
        <v>50.0095025160621</v>
      </c>
      <c r="F11" s="29" t="n">
        <f aca="false">Calc!F18*Calc!F21*d_mass/1000*ctx_event_km</f>
        <v>45.9768295129903</v>
      </c>
      <c r="G11" s="29" t="n">
        <f aca="false">Calc!G18*Calc!G21*d_mass/1000*ctx_event_km</f>
        <v>4.8</v>
      </c>
      <c r="H11" s="29" t="n">
        <f aca="false">Calc!H18*Calc!H21*d_mass/1000*ctx_event_km</f>
        <v>4.8</v>
      </c>
      <c r="I11" s="23" t="s">
        <v>349</v>
      </c>
    </row>
    <row r="12" customFormat="false" ht="15" hidden="false" customHeight="false" outlineLevel="0" collapsed="false">
      <c r="A12" s="12" t="s">
        <v>350</v>
      </c>
      <c r="B12" s="12" t="s">
        <v>342</v>
      </c>
      <c r="C12" s="23" t="s">
        <v>351</v>
      </c>
      <c r="D12" s="29" t="n">
        <f aca="false">IF(Calc!D6=1,0,Calc!D18*d_mass*e_clean)</f>
        <v>2.68837805376957</v>
      </c>
      <c r="E12" s="29" t="n">
        <f aca="false">IF(Calc!E6=1,0,Calc!E18*d_mass*e_clean)</f>
        <v>3.12559390725388</v>
      </c>
      <c r="F12" s="29" t="n">
        <f aca="false">IF(Calc!F6=1,0,Calc!F18*d_mass*e_clean)</f>
        <v>2.87355184456189</v>
      </c>
      <c r="G12" s="29" t="n">
        <f aca="false">IF(Calc!G6=1,0,Calc!G18*d_mass*e_clean)</f>
        <v>0</v>
      </c>
      <c r="H12" s="29" t="n">
        <f aca="false">IF(Calc!H6=1,0,Calc!H18*d_mass*e_clean)</f>
        <v>0</v>
      </c>
      <c r="I12" s="23" t="s">
        <v>344</v>
      </c>
    </row>
    <row r="13" customFormat="false" ht="15" hidden="false" customHeight="false" outlineLevel="0" collapsed="false">
      <c r="A13" s="12" t="s">
        <v>352</v>
      </c>
      <c r="B13" s="12" t="s">
        <v>342</v>
      </c>
      <c r="C13" s="23" t="s">
        <v>353</v>
      </c>
      <c r="D13" s="29" t="n">
        <f aca="false">Calc!D18*d_mass*e_reprocess*Calc!D8</f>
        <v>0</v>
      </c>
      <c r="E13" s="29" t="n">
        <f aca="false">Calc!E18*d_mass*e_reprocess*Calc!E8</f>
        <v>0</v>
      </c>
      <c r="F13" s="29" t="n">
        <f aca="false">Calc!F18*d_mass*e_reprocess*Calc!F8</f>
        <v>45.9768295129903</v>
      </c>
      <c r="G13" s="29" t="n">
        <f aca="false">Calc!G18*d_mass*e_reprocess*Calc!G8</f>
        <v>0</v>
      </c>
      <c r="H13" s="29" t="n">
        <f aca="false">Calc!H18*d_mass*e_reprocess*Calc!H8</f>
        <v>0</v>
      </c>
      <c r="I13" s="23" t="s">
        <v>344</v>
      </c>
    </row>
    <row r="14" customFormat="false" ht="15" hidden="false" customHeight="false" outlineLevel="0" collapsed="false">
      <c r="A14" s="12" t="s">
        <v>354</v>
      </c>
      <c r="B14" s="12" t="s">
        <v>342</v>
      </c>
      <c r="C14" s="23" t="s">
        <v>355</v>
      </c>
      <c r="D14" s="29" t="n">
        <f aca="false">Calc!D18*Calc!D20*d_mass*e_repair</f>
        <v>0</v>
      </c>
      <c r="E14" s="29" t="n">
        <f aca="false">Calc!E18*Calc!E20*d_mass*e_repair</f>
        <v>1.21523091114031</v>
      </c>
      <c r="F14" s="29" t="n">
        <f aca="false">Calc!F18*Calc!F20*d_mass*e_repair</f>
        <v>0</v>
      </c>
      <c r="G14" s="29" t="n">
        <f aca="false">Calc!G18*Calc!G20*d_mass*e_repair</f>
        <v>0</v>
      </c>
      <c r="H14" s="29" t="n">
        <f aca="false">Calc!H18*Calc!H20*d_mass*e_repair</f>
        <v>0</v>
      </c>
      <c r="I14" s="23" t="s">
        <v>344</v>
      </c>
    </row>
    <row r="15" customFormat="false" ht="15" hidden="false" customHeight="false" outlineLevel="0" collapsed="false">
      <c r="A15" s="12" t="s">
        <v>356</v>
      </c>
      <c r="B15" s="12" t="s">
        <v>262</v>
      </c>
      <c r="C15" s="23" t="s">
        <v>357</v>
      </c>
      <c r="D15" s="29" t="n">
        <f aca="false">Calc!D18*Calc!D20*d_mass*repair_share*(1-recycled_content)</f>
        <v>0</v>
      </c>
      <c r="E15" s="29" t="n">
        <f aca="false">Calc!E18*Calc!E20*d_mass*repair_share*(1-recycled_content)</f>
        <v>0.283553879266072</v>
      </c>
      <c r="F15" s="29" t="n">
        <f aca="false">Calc!F18*Calc!F20*d_mass*repair_share*(1-recycled_content)</f>
        <v>0</v>
      </c>
      <c r="G15" s="29" t="n">
        <f aca="false">Calc!G18*Calc!G20*d_mass*repair_share*(1-recycled_content)</f>
        <v>0</v>
      </c>
      <c r="H15" s="29" t="n">
        <f aca="false">Calc!H18*Calc!H20*d_mass*repair_share*(1-recycled_content)</f>
        <v>0</v>
      </c>
      <c r="I15" s="23" t="s">
        <v>337</v>
      </c>
    </row>
    <row r="16" customFormat="false" ht="15" hidden="false" customHeight="false" outlineLevel="0" collapsed="false">
      <c r="A16" s="12" t="s">
        <v>358</v>
      </c>
      <c r="B16" s="12" t="s">
        <v>262</v>
      </c>
      <c r="C16" s="23" t="s">
        <v>357</v>
      </c>
      <c r="D16" s="29" t="n">
        <f aca="false">Calc!D18*Calc!D20*d_mass*repair_share*recycled_content</f>
        <v>0</v>
      </c>
      <c r="E16" s="29" t="n">
        <f aca="false">Calc!E18*Calc!E20*d_mass*repair_share*recycled_content</f>
        <v>0.121523091114031</v>
      </c>
      <c r="F16" s="29" t="n">
        <f aca="false">Calc!F18*Calc!F20*d_mass*repair_share*recycled_content</f>
        <v>0</v>
      </c>
      <c r="G16" s="29" t="n">
        <f aca="false">Calc!G18*Calc!G20*d_mass*repair_share*recycled_content</f>
        <v>0</v>
      </c>
      <c r="H16" s="29" t="n">
        <f aca="false">Calc!H18*Calc!H20*d_mass*repair_share*recycled_content</f>
        <v>0</v>
      </c>
      <c r="I16" s="23" t="s">
        <v>340</v>
      </c>
    </row>
    <row r="17" customFormat="false" ht="15" hidden="false" customHeight="false" outlineLevel="0" collapsed="false">
      <c r="A17" s="20" t="s">
        <v>359</v>
      </c>
      <c r="B17" s="20"/>
      <c r="C17" s="20"/>
      <c r="D17" s="20"/>
      <c r="E17" s="20"/>
      <c r="F17" s="20"/>
      <c r="G17" s="20"/>
      <c r="H17" s="20"/>
      <c r="I17" s="20"/>
    </row>
    <row r="18" customFormat="false" ht="15" hidden="false" customHeight="false" outlineLevel="0" collapsed="false">
      <c r="A18" s="12" t="s">
        <v>360</v>
      </c>
      <c r="B18" s="12" t="s">
        <v>347</v>
      </c>
      <c r="C18" s="23" t="s">
        <v>361</v>
      </c>
      <c r="D18" s="29" t="n">
        <f aca="false">d_mass/1000*ctx_eol_km</f>
        <v>1.2</v>
      </c>
      <c r="E18" s="29" t="n">
        <f aca="false">d_mass/1000*ctx_eol_km</f>
        <v>1.2</v>
      </c>
      <c r="F18" s="29" t="n">
        <f aca="false">d_mass/1000*ctx_eol_km</f>
        <v>1.2</v>
      </c>
      <c r="G18" s="29" t="n">
        <f aca="false">d_mass/1000*ctx_eol_km</f>
        <v>1.2</v>
      </c>
      <c r="H18" s="29" t="n">
        <f aca="false">d_mass/1000*ctx_eol_km</f>
        <v>1.2</v>
      </c>
      <c r="I18" s="23" t="s">
        <v>349</v>
      </c>
    </row>
    <row r="19" customFormat="false" ht="15" hidden="false" customHeight="false" outlineLevel="0" collapsed="false">
      <c r="A19" s="12" t="s">
        <v>362</v>
      </c>
      <c r="B19" s="12" t="s">
        <v>342</v>
      </c>
      <c r="C19" s="23" t="s">
        <v>363</v>
      </c>
      <c r="D19" s="29" t="n">
        <f aca="false">IF(Calc!D12=1,0,d_mass*sort_energy)</f>
        <v>1.8</v>
      </c>
      <c r="E19" s="29" t="n">
        <f aca="false">IF(Calc!E12=1,0,d_mass*sort_energy)</f>
        <v>1.8</v>
      </c>
      <c r="F19" s="29" t="n">
        <f aca="false">IF(Calc!F12=1,0,d_mass*sort_energy)</f>
        <v>1.8</v>
      </c>
      <c r="G19" s="29" t="n">
        <f aca="false">IF(Calc!G12=1,0,d_mass*sort_energy)</f>
        <v>1.8</v>
      </c>
      <c r="H19" s="29" t="n">
        <f aca="false">IF(Calc!H12=1,0,d_mass*sort_energy)</f>
        <v>0</v>
      </c>
      <c r="I19" s="23" t="s">
        <v>344</v>
      </c>
    </row>
    <row r="20" customFormat="false" ht="15" hidden="false" customHeight="false" outlineLevel="0" collapsed="false">
      <c r="A20" s="12" t="s">
        <v>364</v>
      </c>
      <c r="B20" s="12" t="s">
        <v>262</v>
      </c>
      <c r="C20" s="23" t="s">
        <v>365</v>
      </c>
      <c r="D20" s="29" t="n">
        <f aca="false">IF(Calc!D12=1,d_mass,0)</f>
        <v>0</v>
      </c>
      <c r="E20" s="29" t="n">
        <f aca="false">IF(Calc!E12=1,d_mass,0)</f>
        <v>0</v>
      </c>
      <c r="F20" s="29" t="n">
        <f aca="false">IF(Calc!F12=1,d_mass,0)</f>
        <v>0</v>
      </c>
      <c r="G20" s="29" t="n">
        <f aca="false">IF(Calc!G12=1,d_mass,0)</f>
        <v>0</v>
      </c>
      <c r="H20" s="29" t="n">
        <f aca="false">IF(Calc!H12=1,d_mass,0)</f>
        <v>12</v>
      </c>
      <c r="I20" s="23" t="s">
        <v>366</v>
      </c>
    </row>
    <row r="21" customFormat="false" ht="15" hidden="false" customHeight="false" outlineLevel="0" collapsed="false">
      <c r="A21" s="20" t="s">
        <v>367</v>
      </c>
      <c r="B21" s="20"/>
      <c r="C21" s="20"/>
      <c r="D21" s="20"/>
      <c r="E21" s="20"/>
      <c r="F21" s="20"/>
      <c r="G21" s="20"/>
      <c r="H21" s="20"/>
      <c r="I21" s="20"/>
    </row>
    <row r="22" customFormat="false" ht="15" hidden="false" customHeight="false" outlineLevel="0" collapsed="false">
      <c r="A22" s="12" t="s">
        <v>368</v>
      </c>
      <c r="B22" s="12" t="s">
        <v>262</v>
      </c>
      <c r="C22" s="23" t="s">
        <v>369</v>
      </c>
      <c r="D22" s="29" t="n">
        <f aca="false">-Calc!D24</f>
        <v>-7.23</v>
      </c>
      <c r="E22" s="29" t="n">
        <f aca="false">-Calc!E24</f>
        <v>-7.23</v>
      </c>
      <c r="F22" s="29" t="n">
        <f aca="false">-Calc!F24</f>
        <v>-7.23</v>
      </c>
      <c r="G22" s="29" t="n">
        <f aca="false">-Calc!G24</f>
        <v>-7.23</v>
      </c>
      <c r="H22" s="29" t="n">
        <f aca="false">-Calc!H24</f>
        <v>-0</v>
      </c>
      <c r="I22" s="23" t="s">
        <v>370</v>
      </c>
    </row>
    <row r="23" customFormat="false" ht="15" hidden="false" customHeight="false" outlineLevel="0" collapsed="false">
      <c r="A23" s="20" t="s">
        <v>371</v>
      </c>
      <c r="B23" s="20"/>
      <c r="C23" s="20"/>
      <c r="D23" s="20"/>
      <c r="E23" s="20"/>
      <c r="F23" s="20"/>
      <c r="G23" s="20"/>
      <c r="H23" s="20"/>
      <c r="I23" s="20"/>
    </row>
    <row r="24" customFormat="false" ht="15" hidden="false" customHeight="false" outlineLevel="0" collapsed="false">
      <c r="A24" s="12" t="s">
        <v>372</v>
      </c>
      <c r="B24" s="12" t="s">
        <v>262</v>
      </c>
      <c r="C24" s="23" t="s">
        <v>373</v>
      </c>
      <c r="D24" s="29" t="n">
        <f aca="false">d_mass*Calc!D23</f>
        <v>10.83</v>
      </c>
      <c r="E24" s="29" t="n">
        <f aca="false">d_mass*Calc!E23</f>
        <v>10.83</v>
      </c>
      <c r="F24" s="29" t="n">
        <f aca="false">d_mass*Calc!F23</f>
        <v>10.83</v>
      </c>
      <c r="G24" s="29" t="n">
        <f aca="false">d_mass*Calc!G23</f>
        <v>10.83</v>
      </c>
      <c r="H24" s="29" t="n">
        <f aca="false">d_mass*Calc!H23</f>
        <v>2.4</v>
      </c>
      <c r="I24" s="23" t="s">
        <v>374</v>
      </c>
    </row>
    <row r="25" customFormat="false" ht="15" hidden="false" customHeight="false" outlineLevel="0" collapsed="false">
      <c r="A25" s="12" t="s">
        <v>375</v>
      </c>
      <c r="B25" s="12" t="s">
        <v>262</v>
      </c>
      <c r="C25" s="23" t="s">
        <v>376</v>
      </c>
      <c r="D25" s="29" t="n">
        <f aca="false">d_mass*(1-Calc!D23)</f>
        <v>1.17</v>
      </c>
      <c r="E25" s="29" t="n">
        <f aca="false">d_mass*(1-Calc!E23)</f>
        <v>1.17</v>
      </c>
      <c r="F25" s="29" t="n">
        <f aca="false">d_mass*(1-Calc!F23)</f>
        <v>1.17</v>
      </c>
      <c r="G25" s="29" t="n">
        <f aca="false">d_mass*(1-Calc!G23)</f>
        <v>1.17</v>
      </c>
      <c r="H25" s="29" t="n">
        <f aca="false">d_mass*(1-Calc!H23)</f>
        <v>9.6</v>
      </c>
      <c r="I25" s="23" t="s">
        <v>377</v>
      </c>
    </row>
    <row r="26" customFormat="false" ht="15" hidden="false" customHeight="false" outlineLevel="0" collapsed="false">
      <c r="A26" s="12" t="s">
        <v>378</v>
      </c>
      <c r="B26" s="12" t="s">
        <v>262</v>
      </c>
      <c r="C26" s="23" t="s">
        <v>379</v>
      </c>
      <c r="D26" s="29" t="n">
        <f aca="false">d_mass</f>
        <v>12</v>
      </c>
      <c r="E26" s="29" t="n">
        <f aca="false">d_mass</f>
        <v>12</v>
      </c>
      <c r="F26" s="29" t="n">
        <f aca="false">d_mass</f>
        <v>12</v>
      </c>
      <c r="G26" s="29" t="n">
        <f aca="false">d_mass</f>
        <v>12</v>
      </c>
      <c r="H26" s="29" t="n">
        <f aca="false">d_mass</f>
        <v>12</v>
      </c>
      <c r="I26" s="23" t="s">
        <v>380</v>
      </c>
    </row>
    <row r="27" customFormat="false" ht="15" hidden="false" customHeight="false" outlineLevel="0" collapsed="false">
      <c r="A27" s="31" t="s">
        <v>381</v>
      </c>
      <c r="B27" s="31" t="s">
        <v>313</v>
      </c>
      <c r="C27" s="32" t="s">
        <v>382</v>
      </c>
      <c r="D27" s="33" t="n">
        <f aca="false">Calc!D18</f>
        <v>4.48063008961594</v>
      </c>
      <c r="E27" s="33" t="n">
        <f aca="false">Calc!E18</f>
        <v>5.20932317875647</v>
      </c>
      <c r="F27" s="33" t="n">
        <f aca="false">Calc!F18</f>
        <v>4.78925307426982</v>
      </c>
      <c r="G27" s="33" t="n">
        <f aca="false">Calc!G18</f>
        <v>1</v>
      </c>
      <c r="H27" s="33" t="n">
        <f aca="false">Calc!H18</f>
        <v>1</v>
      </c>
      <c r="I27" s="23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0" t="s">
        <v>383</v>
      </c>
      <c r="B29" s="20"/>
      <c r="C29" s="20"/>
      <c r="D29" s="20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12" t="s">
        <v>335</v>
      </c>
      <c r="B30" s="12" t="s">
        <v>262</v>
      </c>
      <c r="C30" s="23" t="s">
        <v>384</v>
      </c>
      <c r="D30" s="29" t="n">
        <f aca="false">D7/D27</f>
        <v>1.87473632770252</v>
      </c>
      <c r="E30" s="29" t="n">
        <f aca="false">E7/E27</f>
        <v>1.61249354508376</v>
      </c>
      <c r="F30" s="29" t="n">
        <f aca="false">F7/F27</f>
        <v>1.75392694220501</v>
      </c>
      <c r="G30" s="29" t="n">
        <f aca="false">G7/G27</f>
        <v>8.4</v>
      </c>
      <c r="H30" s="29" t="n">
        <f aca="false">H7/H27</f>
        <v>8.4</v>
      </c>
      <c r="I30" s="23" t="s">
        <v>337</v>
      </c>
    </row>
    <row r="31" customFormat="false" ht="15" hidden="false" customHeight="false" outlineLevel="0" collapsed="false">
      <c r="A31" s="12" t="s">
        <v>338</v>
      </c>
      <c r="B31" s="12" t="s">
        <v>262</v>
      </c>
      <c r="C31" s="23" t="s">
        <v>384</v>
      </c>
      <c r="D31" s="29" t="n">
        <f aca="false">D8/D27</f>
        <v>0.803458426158222</v>
      </c>
      <c r="E31" s="29" t="n">
        <f aca="false">E8/E27</f>
        <v>0.691068662178753</v>
      </c>
      <c r="F31" s="29" t="n">
        <f aca="false">F8/F27</f>
        <v>0.751682975230718</v>
      </c>
      <c r="G31" s="29" t="n">
        <f aca="false">G8/G27</f>
        <v>3.6</v>
      </c>
      <c r="H31" s="29" t="n">
        <f aca="false">H8/H27</f>
        <v>3.6</v>
      </c>
      <c r="I31" s="23" t="s">
        <v>340</v>
      </c>
    </row>
    <row r="32" customFormat="false" ht="15" hidden="false" customHeight="false" outlineLevel="0" collapsed="false">
      <c r="A32" s="12" t="s">
        <v>341</v>
      </c>
      <c r="B32" s="12" t="s">
        <v>342</v>
      </c>
      <c r="C32" s="23" t="s">
        <v>384</v>
      </c>
      <c r="D32" s="29" t="n">
        <f aca="false">D9/D27</f>
        <v>4.61988595040978</v>
      </c>
      <c r="E32" s="29" t="n">
        <f aca="false">E9/E27</f>
        <v>3.97364480752783</v>
      </c>
      <c r="F32" s="29" t="n">
        <f aca="false">F9/F27</f>
        <v>4.32217710757663</v>
      </c>
      <c r="G32" s="29" t="n">
        <f aca="false">G9/G27</f>
        <v>20.7</v>
      </c>
      <c r="H32" s="29" t="n">
        <f aca="false">H9/H27</f>
        <v>20.7</v>
      </c>
      <c r="I32" s="23" t="s">
        <v>344</v>
      </c>
    </row>
    <row r="33" customFormat="false" ht="15" hidden="false" customHeight="false" outlineLevel="0" collapsed="false">
      <c r="A33" s="12" t="s">
        <v>346</v>
      </c>
      <c r="B33" s="12" t="s">
        <v>347</v>
      </c>
      <c r="C33" s="23" t="s">
        <v>384</v>
      </c>
      <c r="D33" s="29" t="n">
        <f aca="false">D11/D27</f>
        <v>9.6</v>
      </c>
      <c r="E33" s="29" t="n">
        <f aca="false">E11/E27</f>
        <v>9.6</v>
      </c>
      <c r="F33" s="29" t="n">
        <f aca="false">F11/F27</f>
        <v>9.6</v>
      </c>
      <c r="G33" s="29" t="n">
        <f aca="false">G11/G27</f>
        <v>4.8</v>
      </c>
      <c r="H33" s="29" t="n">
        <f aca="false">H11/H27</f>
        <v>4.8</v>
      </c>
      <c r="I33" s="23" t="s">
        <v>349</v>
      </c>
    </row>
    <row r="34" customFormat="false" ht="15" hidden="false" customHeight="false" outlineLevel="0" collapsed="false">
      <c r="A34" s="12" t="s">
        <v>350</v>
      </c>
      <c r="B34" s="12" t="s">
        <v>342</v>
      </c>
      <c r="C34" s="23" t="s">
        <v>384</v>
      </c>
      <c r="D34" s="29" t="n">
        <f aca="false">D12/D27</f>
        <v>0.6</v>
      </c>
      <c r="E34" s="29" t="n">
        <f aca="false">E12/E27</f>
        <v>0.6</v>
      </c>
      <c r="F34" s="29" t="n">
        <f aca="false">F12/F27</f>
        <v>0.6</v>
      </c>
      <c r="G34" s="29" t="n">
        <f aca="false">G12/G27</f>
        <v>0</v>
      </c>
      <c r="H34" s="29" t="n">
        <f aca="false">H12/H27</f>
        <v>0</v>
      </c>
      <c r="I34" s="23" t="s">
        <v>344</v>
      </c>
    </row>
    <row r="35" customFormat="false" ht="15" hidden="false" customHeight="false" outlineLevel="0" collapsed="false">
      <c r="A35" s="12" t="s">
        <v>352</v>
      </c>
      <c r="B35" s="12" t="s">
        <v>342</v>
      </c>
      <c r="C35" s="23" t="s">
        <v>384</v>
      </c>
      <c r="D35" s="29" t="n">
        <f aca="false">D13/D27</f>
        <v>0</v>
      </c>
      <c r="E35" s="29" t="n">
        <f aca="false">E13/E27</f>
        <v>0</v>
      </c>
      <c r="F35" s="29" t="n">
        <f aca="false">F13/F27</f>
        <v>9.6</v>
      </c>
      <c r="G35" s="29" t="n">
        <f aca="false">G13/G27</f>
        <v>0</v>
      </c>
      <c r="H35" s="29" t="n">
        <f aca="false">H13/H27</f>
        <v>0</v>
      </c>
      <c r="I35" s="23" t="s">
        <v>344</v>
      </c>
    </row>
    <row r="36" customFormat="false" ht="15" hidden="false" customHeight="false" outlineLevel="0" collapsed="false">
      <c r="A36" s="12" t="s">
        <v>354</v>
      </c>
      <c r="B36" s="12" t="s">
        <v>342</v>
      </c>
      <c r="C36" s="23" t="s">
        <v>384</v>
      </c>
      <c r="D36" s="29" t="n">
        <f aca="false">D14/D27</f>
        <v>0</v>
      </c>
      <c r="E36" s="29" t="n">
        <f aca="false">E14/E27</f>
        <v>0.23328</v>
      </c>
      <c r="F36" s="29" t="n">
        <f aca="false">F14/F27</f>
        <v>0</v>
      </c>
      <c r="G36" s="29" t="n">
        <f aca="false">G14/G27</f>
        <v>0</v>
      </c>
      <c r="H36" s="29" t="n">
        <f aca="false">H14/H27</f>
        <v>0</v>
      </c>
      <c r="I36" s="23" t="s">
        <v>344</v>
      </c>
    </row>
    <row r="37" customFormat="false" ht="15" hidden="false" customHeight="false" outlineLevel="0" collapsed="false">
      <c r="A37" s="12" t="s">
        <v>356</v>
      </c>
      <c r="B37" s="12" t="s">
        <v>262</v>
      </c>
      <c r="C37" s="23" t="s">
        <v>384</v>
      </c>
      <c r="D37" s="29" t="n">
        <f aca="false">D15/D27</f>
        <v>0</v>
      </c>
      <c r="E37" s="29" t="n">
        <f aca="false">E15/E27</f>
        <v>0.054432</v>
      </c>
      <c r="F37" s="29" t="n">
        <f aca="false">F15/F27</f>
        <v>0</v>
      </c>
      <c r="G37" s="29" t="n">
        <f aca="false">G15/G27</f>
        <v>0</v>
      </c>
      <c r="H37" s="29" t="n">
        <f aca="false">H15/H27</f>
        <v>0</v>
      </c>
      <c r="I37" s="23" t="s">
        <v>337</v>
      </c>
    </row>
    <row r="38" customFormat="false" ht="15" hidden="false" customHeight="false" outlineLevel="0" collapsed="false">
      <c r="A38" s="12" t="s">
        <v>358</v>
      </c>
      <c r="B38" s="12" t="s">
        <v>262</v>
      </c>
      <c r="C38" s="23" t="s">
        <v>384</v>
      </c>
      <c r="D38" s="29" t="n">
        <f aca="false">D16/D27</f>
        <v>0</v>
      </c>
      <c r="E38" s="29" t="n">
        <f aca="false">E16/E27</f>
        <v>0.023328</v>
      </c>
      <c r="F38" s="29" t="n">
        <f aca="false">F16/F27</f>
        <v>0</v>
      </c>
      <c r="G38" s="29" t="n">
        <f aca="false">G16/G27</f>
        <v>0</v>
      </c>
      <c r="H38" s="29" t="n">
        <f aca="false">H16/H27</f>
        <v>0</v>
      </c>
      <c r="I38" s="23" t="s">
        <v>340</v>
      </c>
    </row>
    <row r="39" customFormat="false" ht="15" hidden="false" customHeight="false" outlineLevel="0" collapsed="false">
      <c r="A39" s="12" t="s">
        <v>360</v>
      </c>
      <c r="B39" s="12" t="s">
        <v>347</v>
      </c>
      <c r="C39" s="23" t="s">
        <v>384</v>
      </c>
      <c r="D39" s="29" t="n">
        <f aca="false">D18/D27</f>
        <v>0.267819475386074</v>
      </c>
      <c r="E39" s="29" t="n">
        <f aca="false">E18/E27</f>
        <v>0.230356220726251</v>
      </c>
      <c r="F39" s="29" t="n">
        <f aca="false">F18/F27</f>
        <v>0.250560991743573</v>
      </c>
      <c r="G39" s="29" t="n">
        <f aca="false">G18/G27</f>
        <v>1.2</v>
      </c>
      <c r="H39" s="29" t="n">
        <f aca="false">H18/H27</f>
        <v>1.2</v>
      </c>
      <c r="I39" s="23" t="s">
        <v>349</v>
      </c>
    </row>
    <row r="40" customFormat="false" ht="15" hidden="false" customHeight="false" outlineLevel="0" collapsed="false">
      <c r="A40" s="12" t="s">
        <v>362</v>
      </c>
      <c r="B40" s="12" t="s">
        <v>342</v>
      </c>
      <c r="C40" s="23" t="s">
        <v>384</v>
      </c>
      <c r="D40" s="29" t="n">
        <f aca="false">D19/D27</f>
        <v>0.401729213079111</v>
      </c>
      <c r="E40" s="29" t="n">
        <f aca="false">E19/E27</f>
        <v>0.345534331089377</v>
      </c>
      <c r="F40" s="29" t="n">
        <f aca="false">F19/F27</f>
        <v>0.375841487615359</v>
      </c>
      <c r="G40" s="29" t="n">
        <f aca="false">G19/G27</f>
        <v>1.8</v>
      </c>
      <c r="H40" s="29" t="n">
        <f aca="false">H19/H27</f>
        <v>0</v>
      </c>
      <c r="I40" s="23" t="s">
        <v>344</v>
      </c>
    </row>
    <row r="41" customFormat="false" ht="15" hidden="false" customHeight="false" outlineLevel="0" collapsed="false">
      <c r="A41" s="12" t="s">
        <v>364</v>
      </c>
      <c r="B41" s="12" t="s">
        <v>262</v>
      </c>
      <c r="C41" s="23" t="s">
        <v>384</v>
      </c>
      <c r="D41" s="29" t="n">
        <f aca="false">D20/D27</f>
        <v>0</v>
      </c>
      <c r="E41" s="29" t="n">
        <f aca="false">E20/E27</f>
        <v>0</v>
      </c>
      <c r="F41" s="29" t="n">
        <f aca="false">F20/F27</f>
        <v>0</v>
      </c>
      <c r="G41" s="29" t="n">
        <f aca="false">G20/G27</f>
        <v>0</v>
      </c>
      <c r="H41" s="29" t="n">
        <f aca="false">H20/H27</f>
        <v>12</v>
      </c>
      <c r="I41" s="23" t="s">
        <v>366</v>
      </c>
    </row>
    <row r="42" customFormat="false" ht="15" hidden="false" customHeight="false" outlineLevel="0" collapsed="false">
      <c r="A42" s="12" t="s">
        <v>368</v>
      </c>
      <c r="B42" s="12" t="s">
        <v>262</v>
      </c>
      <c r="C42" s="23" t="s">
        <v>384</v>
      </c>
      <c r="D42" s="29" t="n">
        <f aca="false">D22/D27</f>
        <v>-1.6136123392011</v>
      </c>
      <c r="E42" s="29" t="n">
        <f aca="false">E22/E27</f>
        <v>-1.38789622987566</v>
      </c>
      <c r="F42" s="29" t="n">
        <f aca="false">F22/F27</f>
        <v>-1.50962997525502</v>
      </c>
      <c r="G42" s="29" t="n">
        <f aca="false">G22/G27</f>
        <v>-7.23</v>
      </c>
      <c r="H42" s="29" t="n">
        <f aca="false">H22/H27</f>
        <v>-0</v>
      </c>
      <c r="I42" s="23" t="s">
        <v>370</v>
      </c>
    </row>
    <row r="43" customFormat="false" ht="15" hidden="false" customHeight="false" outlineLevel="0" collapsed="false">
      <c r="A43" s="12" t="s">
        <v>372</v>
      </c>
      <c r="B43" s="12" t="s">
        <v>262</v>
      </c>
      <c r="C43" s="23" t="s">
        <v>384</v>
      </c>
      <c r="D43" s="29" t="n">
        <f aca="false">D24/D27</f>
        <v>2.41707076535932</v>
      </c>
      <c r="E43" s="29" t="n">
        <f aca="false">E24/E27</f>
        <v>2.07896489205442</v>
      </c>
      <c r="F43" s="29" t="n">
        <f aca="false">F24/F27</f>
        <v>2.26131295048574</v>
      </c>
      <c r="G43" s="29" t="n">
        <f aca="false">G24/G27</f>
        <v>10.83</v>
      </c>
      <c r="H43" s="29" t="n">
        <f aca="false">H24/H27</f>
        <v>2.4</v>
      </c>
      <c r="I43" s="23" t="s">
        <v>374</v>
      </c>
    </row>
    <row r="44" customFormat="false" ht="15" hidden="false" customHeight="false" outlineLevel="0" collapsed="false">
      <c r="A44" s="12" t="s">
        <v>375</v>
      </c>
      <c r="B44" s="12" t="s">
        <v>262</v>
      </c>
      <c r="C44" s="23" t="s">
        <v>384</v>
      </c>
      <c r="D44" s="29" t="n">
        <f aca="false">D25/D27</f>
        <v>0.261123988501422</v>
      </c>
      <c r="E44" s="29" t="n">
        <f aca="false">E25/E27</f>
        <v>0.224597315208095</v>
      </c>
      <c r="F44" s="29" t="n">
        <f aca="false">F25/F27</f>
        <v>0.244296966949983</v>
      </c>
      <c r="G44" s="29" t="n">
        <f aca="false">G25/G27</f>
        <v>1.17</v>
      </c>
      <c r="H44" s="29" t="n">
        <f aca="false">H25/H27</f>
        <v>9.6</v>
      </c>
      <c r="I44" s="23" t="s">
        <v>377</v>
      </c>
    </row>
    <row r="45" customFormat="false" ht="15" hidden="false" customHeight="false" outlineLevel="0" collapsed="false">
      <c r="A45" s="12" t="s">
        <v>378</v>
      </c>
      <c r="B45" s="12" t="s">
        <v>262</v>
      </c>
      <c r="C45" s="23" t="s">
        <v>384</v>
      </c>
      <c r="D45" s="29" t="n">
        <f aca="false">D26/D27</f>
        <v>2.67819475386074</v>
      </c>
      <c r="E45" s="29" t="n">
        <f aca="false">E26/E27</f>
        <v>2.30356220726251</v>
      </c>
      <c r="F45" s="29" t="n">
        <f aca="false">F26/F27</f>
        <v>2.50560991743573</v>
      </c>
      <c r="G45" s="29" t="n">
        <f aca="false">G26/G27</f>
        <v>12</v>
      </c>
      <c r="H45" s="29" t="n">
        <f aca="false">H26/H27</f>
        <v>12</v>
      </c>
      <c r="I45" s="23" t="s">
        <v>380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3" t="s">
        <v>385</v>
      </c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12" t="s">
        <v>386</v>
      </c>
      <c r="B48" s="12" t="s">
        <v>262</v>
      </c>
      <c r="C48" s="23" t="s">
        <v>387</v>
      </c>
      <c r="D48" s="34" t="n">
        <f aca="false">D24+D25-D26</f>
        <v>0</v>
      </c>
      <c r="E48" s="34" t="n">
        <f aca="false">E24+E25-E26</f>
        <v>0</v>
      </c>
      <c r="F48" s="34" t="n">
        <f aca="false">F24+F25-F26</f>
        <v>0</v>
      </c>
      <c r="G48" s="34" t="n">
        <f aca="false">G24+G25-G26</f>
        <v>0</v>
      </c>
      <c r="H48" s="34" t="n">
        <f aca="false">H24+H25-H26</f>
        <v>0</v>
      </c>
      <c r="I4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388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389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331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390</v>
      </c>
    </row>
    <row r="5" customFormat="false" ht="15" hidden="false" customHeight="false" outlineLevel="0" collapsed="false">
      <c r="A5" s="20" t="s">
        <v>391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335</v>
      </c>
      <c r="B6" s="12" t="s">
        <v>392</v>
      </c>
      <c r="C6" s="23" t="s">
        <v>393</v>
      </c>
      <c r="D6" s="29" t="n">
        <f aca="false">LCI!D30*ef_primary</f>
        <v>11.8108388645259</v>
      </c>
      <c r="E6" s="29" t="n">
        <f aca="false">LCI!E30*ef_primary</f>
        <v>10.1587093340277</v>
      </c>
      <c r="F6" s="29" t="n">
        <f aca="false">LCI!F30*ef_primary</f>
        <v>11.0497397358916</v>
      </c>
      <c r="G6" s="29" t="n">
        <f aca="false">LCI!G30*ef_primary</f>
        <v>52.92</v>
      </c>
      <c r="H6" s="29" t="n">
        <f aca="false">LCI!H30*ef_primary</f>
        <v>52.92</v>
      </c>
      <c r="I6" s="35" t="n">
        <f aca="false">ef_primary</f>
        <v>6.3</v>
      </c>
    </row>
    <row r="7" customFormat="false" ht="15" hidden="false" customHeight="false" outlineLevel="0" collapsed="false">
      <c r="A7" s="12" t="s">
        <v>338</v>
      </c>
      <c r="B7" s="12" t="s">
        <v>392</v>
      </c>
      <c r="C7" s="23" t="s">
        <v>394</v>
      </c>
      <c r="D7" s="29" t="n">
        <f aca="false">LCI!D31*ef_secondary</f>
        <v>0.401729213079111</v>
      </c>
      <c r="E7" s="29" t="n">
        <f aca="false">LCI!E31*ef_secondary</f>
        <v>0.345534331089377</v>
      </c>
      <c r="F7" s="29" t="n">
        <f aca="false">LCI!F31*ef_secondary</f>
        <v>0.375841487615359</v>
      </c>
      <c r="G7" s="29" t="n">
        <f aca="false">LCI!G31*ef_secondary</f>
        <v>1.8</v>
      </c>
      <c r="H7" s="29" t="n">
        <f aca="false">LCI!H31*ef_secondary</f>
        <v>1.8</v>
      </c>
      <c r="I7" s="35" t="n">
        <f aca="false">ef_secondary</f>
        <v>0.5</v>
      </c>
    </row>
    <row r="8" customFormat="false" ht="15" hidden="false" customHeight="false" outlineLevel="0" collapsed="false">
      <c r="A8" s="12" t="s">
        <v>341</v>
      </c>
      <c r="B8" s="12" t="s">
        <v>392</v>
      </c>
      <c r="C8" s="23" t="s">
        <v>395</v>
      </c>
      <c r="D8" s="29" t="n">
        <f aca="false">LCI!D32*grid_ef</f>
        <v>1.58924076694096</v>
      </c>
      <c r="E8" s="29" t="n">
        <f aca="false">LCI!E32*grid_ef</f>
        <v>1.36693381378957</v>
      </c>
      <c r="F8" s="29" t="n">
        <f aca="false">LCI!F32*grid_ef</f>
        <v>1.48682892500636</v>
      </c>
      <c r="G8" s="29" t="n">
        <f aca="false">LCI!G32*grid_ef</f>
        <v>7.1208</v>
      </c>
      <c r="H8" s="29" t="n">
        <f aca="false">LCI!H32*grid_ef</f>
        <v>7.1208</v>
      </c>
      <c r="I8" s="35" t="n">
        <f aca="false">grid_ef</f>
        <v>0.344</v>
      </c>
    </row>
    <row r="9" customFormat="false" ht="15" hidden="false" customHeight="false" outlineLevel="0" collapsed="false">
      <c r="A9" s="12" t="s">
        <v>346</v>
      </c>
      <c r="B9" s="12" t="s">
        <v>392</v>
      </c>
      <c r="C9" s="23" t="s">
        <v>396</v>
      </c>
      <c r="D9" s="29" t="n">
        <f aca="false">LCI!D33*leg_ef</f>
        <v>0.928</v>
      </c>
      <c r="E9" s="29" t="n">
        <f aca="false">LCI!E33*leg_ef</f>
        <v>0.928</v>
      </c>
      <c r="F9" s="29" t="n">
        <f aca="false">LCI!F33*leg_ef</f>
        <v>0.928</v>
      </c>
      <c r="G9" s="29" t="n">
        <f aca="false">LCI!G33*leg_ef</f>
        <v>0.464</v>
      </c>
      <c r="H9" s="29" t="n">
        <f aca="false">LCI!H33*leg_ef</f>
        <v>0.464</v>
      </c>
      <c r="I9" s="35" t="n">
        <f aca="false">leg_ef</f>
        <v>0.0966666666666667</v>
      </c>
    </row>
    <row r="10" customFormat="false" ht="15" hidden="false" customHeight="false" outlineLevel="0" collapsed="false">
      <c r="A10" s="12" t="s">
        <v>350</v>
      </c>
      <c r="B10" s="12" t="s">
        <v>392</v>
      </c>
      <c r="C10" s="23" t="s">
        <v>395</v>
      </c>
      <c r="D10" s="29" t="n">
        <f aca="false">LCI!D34*grid_ef</f>
        <v>0.2064</v>
      </c>
      <c r="E10" s="29" t="n">
        <f aca="false">LCI!E34*grid_ef</f>
        <v>0.2064</v>
      </c>
      <c r="F10" s="29" t="n">
        <f aca="false">LCI!F34*grid_ef</f>
        <v>0.2064</v>
      </c>
      <c r="G10" s="29" t="n">
        <f aca="false">LCI!G34*grid_ef</f>
        <v>0</v>
      </c>
      <c r="H10" s="29" t="n">
        <f aca="false">LCI!H34*grid_ef</f>
        <v>0</v>
      </c>
      <c r="I10" s="35" t="n">
        <f aca="false">grid_ef</f>
        <v>0.344</v>
      </c>
    </row>
    <row r="11" customFormat="false" ht="15" hidden="false" customHeight="false" outlineLevel="0" collapsed="false">
      <c r="A11" s="12" t="s">
        <v>352</v>
      </c>
      <c r="B11" s="12" t="s">
        <v>392</v>
      </c>
      <c r="C11" s="23" t="s">
        <v>395</v>
      </c>
      <c r="D11" s="29" t="n">
        <f aca="false">LCI!D35*grid_ef</f>
        <v>0</v>
      </c>
      <c r="E11" s="29" t="n">
        <f aca="false">LCI!E35*grid_ef</f>
        <v>0</v>
      </c>
      <c r="F11" s="29" t="n">
        <f aca="false">LCI!F35*grid_ef</f>
        <v>3.3024</v>
      </c>
      <c r="G11" s="29" t="n">
        <f aca="false">LCI!G35*grid_ef</f>
        <v>0</v>
      </c>
      <c r="H11" s="29" t="n">
        <f aca="false">LCI!H35*grid_ef</f>
        <v>0</v>
      </c>
      <c r="I11" s="35" t="n">
        <f aca="false">grid_ef</f>
        <v>0.344</v>
      </c>
    </row>
    <row r="12" customFormat="false" ht="15" hidden="false" customHeight="false" outlineLevel="0" collapsed="false">
      <c r="A12" s="12" t="s">
        <v>354</v>
      </c>
      <c r="B12" s="12" t="s">
        <v>392</v>
      </c>
      <c r="C12" s="23" t="s">
        <v>395</v>
      </c>
      <c r="D12" s="29" t="n">
        <f aca="false">LCI!D36*grid_ef</f>
        <v>0</v>
      </c>
      <c r="E12" s="29" t="n">
        <f aca="false">LCI!E36*grid_ef</f>
        <v>0.08024832</v>
      </c>
      <c r="F12" s="29" t="n">
        <f aca="false">LCI!F36*grid_ef</f>
        <v>0</v>
      </c>
      <c r="G12" s="29" t="n">
        <f aca="false">LCI!G36*grid_ef</f>
        <v>0</v>
      </c>
      <c r="H12" s="29" t="n">
        <f aca="false">LCI!H36*grid_ef</f>
        <v>0</v>
      </c>
      <c r="I12" s="35" t="n">
        <f aca="false">grid_ef</f>
        <v>0.344</v>
      </c>
    </row>
    <row r="13" customFormat="false" ht="15" hidden="false" customHeight="false" outlineLevel="0" collapsed="false">
      <c r="A13" s="12" t="s">
        <v>356</v>
      </c>
      <c r="B13" s="12" t="s">
        <v>392</v>
      </c>
      <c r="C13" s="23" t="s">
        <v>393</v>
      </c>
      <c r="D13" s="29" t="n">
        <f aca="false">LCI!D37*ef_primary</f>
        <v>0</v>
      </c>
      <c r="E13" s="29" t="n">
        <f aca="false">LCI!E37*ef_primary</f>
        <v>0.3429216</v>
      </c>
      <c r="F13" s="29" t="n">
        <f aca="false">LCI!F37*ef_primary</f>
        <v>0</v>
      </c>
      <c r="G13" s="29" t="n">
        <f aca="false">LCI!G37*ef_primary</f>
        <v>0</v>
      </c>
      <c r="H13" s="29" t="n">
        <f aca="false">LCI!H37*ef_primary</f>
        <v>0</v>
      </c>
      <c r="I13" s="35" t="n">
        <f aca="false">ef_primary</f>
        <v>6.3</v>
      </c>
    </row>
    <row r="14" customFormat="false" ht="15" hidden="false" customHeight="false" outlineLevel="0" collapsed="false">
      <c r="A14" s="12" t="s">
        <v>358</v>
      </c>
      <c r="B14" s="12" t="s">
        <v>392</v>
      </c>
      <c r="C14" s="23" t="s">
        <v>394</v>
      </c>
      <c r="D14" s="29" t="n">
        <f aca="false">LCI!D38*ef_secondary</f>
        <v>0</v>
      </c>
      <c r="E14" s="29" t="n">
        <f aca="false">LCI!E38*ef_secondary</f>
        <v>0.011664</v>
      </c>
      <c r="F14" s="29" t="n">
        <f aca="false">LCI!F38*ef_secondary</f>
        <v>0</v>
      </c>
      <c r="G14" s="29" t="n">
        <f aca="false">LCI!G38*ef_secondary</f>
        <v>0</v>
      </c>
      <c r="H14" s="29" t="n">
        <f aca="false">LCI!H38*ef_secondary</f>
        <v>0</v>
      </c>
      <c r="I14" s="35" t="n">
        <f aca="false">ef_secondary</f>
        <v>0.5</v>
      </c>
    </row>
    <row r="15" customFormat="false" ht="15" hidden="false" customHeight="false" outlineLevel="0" collapsed="false">
      <c r="A15" s="12" t="s">
        <v>360</v>
      </c>
      <c r="B15" s="12" t="s">
        <v>392</v>
      </c>
      <c r="C15" s="23" t="s">
        <v>396</v>
      </c>
      <c r="D15" s="29" t="n">
        <f aca="false">LCI!D39*leg_ef</f>
        <v>0.0258892159539872</v>
      </c>
      <c r="E15" s="29" t="n">
        <f aca="false">LCI!E39*leg_ef</f>
        <v>0.0222677680035376</v>
      </c>
      <c r="F15" s="29" t="n">
        <f aca="false">LCI!F39*leg_ef</f>
        <v>0.0242208958685454</v>
      </c>
      <c r="G15" s="29" t="n">
        <f aca="false">LCI!G39*leg_ef</f>
        <v>0.116</v>
      </c>
      <c r="H15" s="29" t="n">
        <f aca="false">LCI!H39*leg_ef</f>
        <v>0.116</v>
      </c>
      <c r="I15" s="35" t="n">
        <f aca="false">leg_ef</f>
        <v>0.0966666666666667</v>
      </c>
    </row>
    <row r="16" customFormat="false" ht="15" hidden="false" customHeight="false" outlineLevel="0" collapsed="false">
      <c r="A16" s="12" t="s">
        <v>362</v>
      </c>
      <c r="B16" s="12" t="s">
        <v>392</v>
      </c>
      <c r="C16" s="23" t="s">
        <v>395</v>
      </c>
      <c r="D16" s="29" t="n">
        <f aca="false">LCI!D40*grid_ef</f>
        <v>0.138194849299214</v>
      </c>
      <c r="E16" s="29" t="n">
        <f aca="false">LCI!E40*grid_ef</f>
        <v>0.118863809894746</v>
      </c>
      <c r="F16" s="29" t="n">
        <f aca="false">LCI!F40*grid_ef</f>
        <v>0.129289471739683</v>
      </c>
      <c r="G16" s="29" t="n">
        <f aca="false">LCI!G40*grid_ef</f>
        <v>0.6192</v>
      </c>
      <c r="H16" s="29" t="n">
        <f aca="false">LCI!H40*grid_ef</f>
        <v>0</v>
      </c>
      <c r="I16" s="35" t="n">
        <f aca="false">grid_ef</f>
        <v>0.344</v>
      </c>
    </row>
    <row r="17" customFormat="false" ht="15" hidden="false" customHeight="false" outlineLevel="0" collapsed="false">
      <c r="A17" s="12" t="s">
        <v>364</v>
      </c>
      <c r="B17" s="12" t="s">
        <v>392</v>
      </c>
      <c r="C17" s="23" t="s">
        <v>397</v>
      </c>
      <c r="D17" s="29" t="n">
        <f aca="false">LCI!D41*disposal_ef</f>
        <v>0</v>
      </c>
      <c r="E17" s="29" t="n">
        <f aca="false">LCI!E41*disposal_ef</f>
        <v>0</v>
      </c>
      <c r="F17" s="29" t="n">
        <f aca="false">LCI!F41*disposal_ef</f>
        <v>0</v>
      </c>
      <c r="G17" s="29" t="n">
        <f aca="false">LCI!G41*disposal_ef</f>
        <v>0</v>
      </c>
      <c r="H17" s="29" t="n">
        <f aca="false">LCI!H41*disposal_ef</f>
        <v>0.24</v>
      </c>
      <c r="I17" s="35" t="n">
        <f aca="false">disposal_ef</f>
        <v>0.02</v>
      </c>
    </row>
    <row r="18" customFormat="false" ht="15" hidden="false" customHeight="false" outlineLevel="0" collapsed="false">
      <c r="A18" s="12" t="s">
        <v>368</v>
      </c>
      <c r="B18" s="12" t="s">
        <v>392</v>
      </c>
      <c r="C18" s="23" t="s">
        <v>398</v>
      </c>
      <c r="D18" s="29" t="n">
        <f aca="false">LCI!D42*delta_ef</f>
        <v>-9.35895156736636</v>
      </c>
      <c r="E18" s="29" t="n">
        <f aca="false">LCI!E42*delta_ef</f>
        <v>-8.04979813327884</v>
      </c>
      <c r="F18" s="29" t="n">
        <f aca="false">LCI!F42*delta_ef</f>
        <v>-8.75585385647914</v>
      </c>
      <c r="G18" s="29" t="n">
        <f aca="false">LCI!G42*delta_ef</f>
        <v>-41.934</v>
      </c>
      <c r="H18" s="29" t="n">
        <f aca="false">LCI!H42*delta_ef</f>
        <v>-0</v>
      </c>
      <c r="I18" s="35" t="n">
        <f aca="false">delta_ef</f>
        <v>5.8</v>
      </c>
    </row>
    <row r="19" customFormat="false" ht="15" hidden="false" customHeight="false" outlineLevel="0" collapsed="false">
      <c r="A19" s="20" t="s">
        <v>399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12" t="s">
        <v>400</v>
      </c>
      <c r="B20" s="12" t="s">
        <v>392</v>
      </c>
      <c r="C20" s="23" t="s">
        <v>401</v>
      </c>
      <c r="D20" s="29" t="n">
        <f aca="false">D6+D7+D8</f>
        <v>13.8018088445459</v>
      </c>
      <c r="E20" s="29" t="n">
        <f aca="false">E6+E7+E8</f>
        <v>11.8711774789066</v>
      </c>
      <c r="F20" s="29" t="n">
        <f aca="false">F6+F7+F8</f>
        <v>12.9124101485133</v>
      </c>
      <c r="G20" s="29" t="n">
        <f aca="false">G6+G7+G8</f>
        <v>61.8408</v>
      </c>
      <c r="H20" s="29" t="n">
        <f aca="false">H6+H7+H8</f>
        <v>61.8408</v>
      </c>
      <c r="I20" s="23"/>
    </row>
    <row r="21" customFormat="false" ht="15" hidden="false" customHeight="false" outlineLevel="0" collapsed="false">
      <c r="A21" s="12" t="s">
        <v>402</v>
      </c>
      <c r="B21" s="12" t="s">
        <v>392</v>
      </c>
      <c r="C21" s="23" t="s">
        <v>401</v>
      </c>
      <c r="D21" s="29" t="n">
        <f aca="false">D9+D10+D11+D12+D13+D14</f>
        <v>1.1344</v>
      </c>
      <c r="E21" s="29" t="n">
        <f aca="false">E9+E10+E11+E12+E13+E14</f>
        <v>1.56923392</v>
      </c>
      <c r="F21" s="29" t="n">
        <f aca="false">F9+F10+F11+F12+F13+F14</f>
        <v>4.4368</v>
      </c>
      <c r="G21" s="29" t="n">
        <f aca="false">G9+G10+G11+G12+G13+G14</f>
        <v>0.464</v>
      </c>
      <c r="H21" s="29" t="n">
        <f aca="false">H9+H10+H11+H12+H13+H14</f>
        <v>0.464</v>
      </c>
      <c r="I21" s="23"/>
    </row>
    <row r="22" customFormat="false" ht="15" hidden="false" customHeight="false" outlineLevel="0" collapsed="false">
      <c r="A22" s="12" t="s">
        <v>403</v>
      </c>
      <c r="B22" s="12" t="s">
        <v>392</v>
      </c>
      <c r="C22" s="23" t="s">
        <v>401</v>
      </c>
      <c r="D22" s="29" t="n">
        <f aca="false">D15+D16+D17</f>
        <v>0.164084065253201</v>
      </c>
      <c r="E22" s="29" t="n">
        <f aca="false">E15+E16+E17</f>
        <v>0.141131577898283</v>
      </c>
      <c r="F22" s="29" t="n">
        <f aca="false">F15+F16+F17</f>
        <v>0.153510367608229</v>
      </c>
      <c r="G22" s="29" t="n">
        <f aca="false">G15+G16+G17</f>
        <v>0.7352</v>
      </c>
      <c r="H22" s="29" t="n">
        <f aca="false">H15+H16+H17</f>
        <v>0.356</v>
      </c>
      <c r="I22" s="23"/>
    </row>
    <row r="23" customFormat="false" ht="15" hidden="false" customHeight="false" outlineLevel="0" collapsed="false">
      <c r="A23" s="12" t="s">
        <v>404</v>
      </c>
      <c r="B23" s="12" t="s">
        <v>392</v>
      </c>
      <c r="C23" s="23" t="s">
        <v>401</v>
      </c>
      <c r="D23" s="29" t="n">
        <f aca="false">D18</f>
        <v>-9.35895156736636</v>
      </c>
      <c r="E23" s="29" t="n">
        <f aca="false">E18</f>
        <v>-8.04979813327884</v>
      </c>
      <c r="F23" s="29" t="n">
        <f aca="false">F18</f>
        <v>-8.75585385647914</v>
      </c>
      <c r="G23" s="29" t="n">
        <f aca="false">G18</f>
        <v>-41.934</v>
      </c>
      <c r="H23" s="29" t="n">
        <f aca="false">H18</f>
        <v>-0</v>
      </c>
      <c r="I23" s="23"/>
    </row>
    <row r="24" customFormat="false" ht="15" hidden="false" customHeight="false" outlineLevel="0" collapsed="false">
      <c r="A24" s="31" t="s">
        <v>405</v>
      </c>
      <c r="B24" s="31" t="s">
        <v>406</v>
      </c>
      <c r="C24" s="32"/>
      <c r="D24" s="36" t="n">
        <f aca="false">D20+D21+D22+D23</f>
        <v>5.74134134243278</v>
      </c>
      <c r="E24" s="36" t="n">
        <f aca="false">E20+E21+E22+E23</f>
        <v>5.53174484352606</v>
      </c>
      <c r="F24" s="36" t="n">
        <f aca="false">F20+F21+F22+F23</f>
        <v>8.74686665964235</v>
      </c>
      <c r="G24" s="36" t="n">
        <f aca="false">G20+G21+G22+G23</f>
        <v>21.106</v>
      </c>
      <c r="H24" s="36" t="n">
        <f aca="false">H20+H21+H22+H23</f>
        <v>62.6608</v>
      </c>
      <c r="I24" s="23"/>
    </row>
    <row r="25" customFormat="false" ht="15" hidden="false" customHeight="false" outlineLevel="0" collapsed="false">
      <c r="A25" s="12" t="s">
        <v>407</v>
      </c>
      <c r="B25" s="12" t="s">
        <v>392</v>
      </c>
      <c r="C25" s="23"/>
      <c r="D25" s="25" t="n">
        <f aca="false">D24*Calc!D18</f>
        <v>25.7248267736603</v>
      </c>
      <c r="E25" s="25" t="n">
        <f aca="false">E24*Calc!E18</f>
        <v>28.8166466323469</v>
      </c>
      <c r="F25" s="25" t="n">
        <f aca="false">F24*Calc!F18</f>
        <v>41.8909580399203</v>
      </c>
      <c r="G25" s="25" t="n">
        <f aca="false">G24*Calc!G18</f>
        <v>21.106</v>
      </c>
      <c r="H25" s="25" t="n">
        <f aca="false">H24*Calc!H18</f>
        <v>62.6608</v>
      </c>
      <c r="I25" s="23"/>
    </row>
    <row r="26" customFormat="false" ht="15" hidden="false" customHeight="false" outlineLevel="0" collapsed="false">
      <c r="A26" s="20" t="s">
        <v>408</v>
      </c>
      <c r="B26" s="20"/>
      <c r="C26" s="20"/>
      <c r="D26" s="20"/>
      <c r="E26" s="20"/>
      <c r="F26" s="20"/>
      <c r="G26" s="20"/>
      <c r="H26" s="20"/>
      <c r="I26" s="20"/>
    </row>
    <row r="27" customFormat="false" ht="15" hidden="false" customHeight="false" outlineLevel="0" collapsed="false">
      <c r="A27" s="12" t="s">
        <v>400</v>
      </c>
      <c r="B27" s="12" t="s">
        <v>97</v>
      </c>
      <c r="C27" s="23"/>
      <c r="D27" s="26" t="n">
        <f aca="false">IF((D20+D21+D22)=0,0,D20/(D20+D21+D22))</f>
        <v>0.914009345844506</v>
      </c>
      <c r="E27" s="26" t="n">
        <f aca="false">IF((E20+E21+E22)=0,0,E20/(E20+E21+E22))</f>
        <v>0.874066922968965</v>
      </c>
      <c r="F27" s="26" t="n">
        <f aca="false">IF((F20+F21+F22)=0,0,F20/(F20+F21+F22))</f>
        <v>0.737737321270704</v>
      </c>
      <c r="G27" s="26" t="n">
        <f aca="false">IF((G20+G21+G22)=0,0,G20/(G20+G21+G22))</f>
        <v>0.980977157360406</v>
      </c>
      <c r="H27" s="26" t="n">
        <f aca="false">IF((H20+H21+H22)=0,0,H20/(H20+H21+H22))</f>
        <v>0.986913668513648</v>
      </c>
      <c r="I27" s="23"/>
    </row>
    <row r="28" customFormat="false" ht="15" hidden="false" customHeight="false" outlineLevel="0" collapsed="false">
      <c r="A28" s="12" t="s">
        <v>402</v>
      </c>
      <c r="B28" s="12" t="s">
        <v>97</v>
      </c>
      <c r="C28" s="23"/>
      <c r="D28" s="26" t="n">
        <f aca="false">IF((D20+D21+D22)=0,0,D21/(D20+D21+D22))</f>
        <v>0.0751243705520339</v>
      </c>
      <c r="E28" s="26" t="n">
        <f aca="false">IF((E20+E21+E22)=0,0,E21/(E20+E21+E22))</f>
        <v>0.115541652570698</v>
      </c>
      <c r="F28" s="26" t="n">
        <f aca="false">IF((F20+F21+F22)=0,0,F21/(F20+F21+F22))</f>
        <v>0.253492021192553</v>
      </c>
      <c r="G28" s="26" t="n">
        <f aca="false">IF((G20+G21+G22)=0,0,G21/(G20+G21+G22))</f>
        <v>0.00736040609137056</v>
      </c>
      <c r="H28" s="26" t="n">
        <f aca="false">IF((H20+H21+H22)=0,0,H21/(H20+H21+H22))</f>
        <v>0.00740494854837474</v>
      </c>
      <c r="I28" s="23"/>
    </row>
    <row r="29" customFormat="false" ht="15" hidden="false" customHeight="false" outlineLevel="0" collapsed="false">
      <c r="A29" s="12" t="s">
        <v>403</v>
      </c>
      <c r="B29" s="12" t="s">
        <v>97</v>
      </c>
      <c r="C29" s="23"/>
      <c r="D29" s="26" t="n">
        <f aca="false">IF((D20+D21+D22)=0,0,D22/(D20+D21+D22))</f>
        <v>0.0108662836034605</v>
      </c>
      <c r="E29" s="26" t="n">
        <f aca="false">IF((E20+E21+E22)=0,0,E22/(E20+E21+E22))</f>
        <v>0.0103914244603366</v>
      </c>
      <c r="F29" s="26" t="n">
        <f aca="false">IF((F20+F21+F22)=0,0,F22/(F20+F21+F22))</f>
        <v>0.00877065753674308</v>
      </c>
      <c r="G29" s="26" t="n">
        <f aca="false">IF((G20+G21+G22)=0,0,G22/(G20+G21+G22))</f>
        <v>0.0116624365482234</v>
      </c>
      <c r="H29" s="26" t="n">
        <f aca="false">IF((H20+H21+H22)=0,0,H22/(H20+H21+H22))</f>
        <v>0.00568138293797717</v>
      </c>
      <c r="I29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409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410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411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412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413</v>
      </c>
      <c r="B6" s="12" t="s">
        <v>414</v>
      </c>
      <c r="C6" s="23" t="s">
        <v>415</v>
      </c>
      <c r="D6" s="37" t="n">
        <f aca="false">d_mass*(price_kg+manuf_cost*d_cost)</f>
        <v>139.08</v>
      </c>
      <c r="E6" s="37" t="n">
        <f aca="false">d_mass*(price_kg+manuf_cost*d_cost)</f>
        <v>139.08</v>
      </c>
      <c r="F6" s="37" t="n">
        <f aca="false">d_mass*(price_kg+manuf_cost*d_cost)</f>
        <v>139.08</v>
      </c>
      <c r="G6" s="37" t="n">
        <f aca="false">d_mass*(price_kg+manuf_cost*d_cost)</f>
        <v>139.08</v>
      </c>
      <c r="H6" s="37" t="n">
        <f aca="false">d_mass*(price_kg+manuf_cost*d_cost)</f>
        <v>139.08</v>
      </c>
      <c r="I6" s="23"/>
    </row>
    <row r="7" customFormat="false" ht="15" hidden="false" customHeight="false" outlineLevel="0" collapsed="false">
      <c r="A7" s="12" t="s">
        <v>416</v>
      </c>
      <c r="B7" s="12" t="s">
        <v>414</v>
      </c>
      <c r="C7" s="23"/>
      <c r="D7" s="37" t="n">
        <f aca="false">Calc!D18*Calc!D21*d_mass/1000*ctx_event_km*transport_cost</f>
        <v>10.7535122150783</v>
      </c>
      <c r="E7" s="37" t="n">
        <f aca="false">Calc!E18*Calc!E21*d_mass/1000*ctx_event_km*transport_cost</f>
        <v>12.5023756290155</v>
      </c>
      <c r="F7" s="37" t="n">
        <f aca="false">Calc!F18*Calc!F21*d_mass/1000*ctx_event_km*transport_cost</f>
        <v>11.4942073782476</v>
      </c>
      <c r="G7" s="37" t="n">
        <f aca="false">Calc!G18*Calc!G21*d_mass/1000*ctx_event_km*transport_cost</f>
        <v>1.2</v>
      </c>
      <c r="H7" s="37" t="n">
        <f aca="false">Calc!H18*Calc!H21*d_mass/1000*ctx_event_km*transport_cost</f>
        <v>1.2</v>
      </c>
      <c r="I7" s="23"/>
    </row>
    <row r="8" customFormat="false" ht="15" hidden="false" customHeight="false" outlineLevel="0" collapsed="false">
      <c r="A8" s="12" t="s">
        <v>417</v>
      </c>
      <c r="B8" s="12" t="s">
        <v>414</v>
      </c>
      <c r="C8" s="23"/>
      <c r="D8" s="37" t="n">
        <f aca="false">Calc!D18*handling_cost</f>
        <v>26.8837805376957</v>
      </c>
      <c r="E8" s="37" t="n">
        <f aca="false">Calc!E18*handling_cost</f>
        <v>31.2559390725388</v>
      </c>
      <c r="F8" s="37" t="n">
        <f aca="false">Calc!F18*handling_cost</f>
        <v>28.7355184456189</v>
      </c>
      <c r="G8" s="37" t="n">
        <f aca="false">Calc!G18*handling_cost</f>
        <v>6</v>
      </c>
      <c r="H8" s="37" t="n">
        <f aca="false">Calc!H18*handling_cost</f>
        <v>6</v>
      </c>
      <c r="I8" s="23"/>
    </row>
    <row r="9" customFormat="false" ht="15" hidden="false" customHeight="false" outlineLevel="0" collapsed="false">
      <c r="A9" s="12" t="s">
        <v>418</v>
      </c>
      <c r="B9" s="12" t="s">
        <v>414</v>
      </c>
      <c r="C9" s="23" t="s">
        <v>419</v>
      </c>
      <c r="D9" s="37" t="n">
        <f aca="false">IF(Calc!D6=1,0,Calc!D18*storage_cost)</f>
        <v>13.4418902688478</v>
      </c>
      <c r="E9" s="37" t="n">
        <f aca="false">IF(Calc!E6=1,0,Calc!E18*storage_cost)</f>
        <v>15.6279695362694</v>
      </c>
      <c r="F9" s="37" t="n">
        <f aca="false">IF(Calc!F6=1,0,Calc!F18*storage_cost)</f>
        <v>14.3677592228095</v>
      </c>
      <c r="G9" s="37" t="n">
        <f aca="false">IF(Calc!G6=1,0,Calc!G18*storage_cost)</f>
        <v>0</v>
      </c>
      <c r="H9" s="37" t="n">
        <f aca="false">IF(Calc!H6=1,0,Calc!H18*storage_cost)</f>
        <v>0</v>
      </c>
      <c r="I9" s="23"/>
    </row>
    <row r="10" customFormat="false" ht="15" hidden="false" customHeight="false" outlineLevel="0" collapsed="false">
      <c r="A10" s="12" t="s">
        <v>420</v>
      </c>
      <c r="B10" s="12" t="s">
        <v>414</v>
      </c>
      <c r="C10" s="23" t="s">
        <v>421</v>
      </c>
      <c r="D10" s="37" t="n">
        <f aca="false">IF(Calc!D6=1,0,Calc!D18*(Calc!D10*labour_rate*IF(Calc!D7=1,Calc!D20,1)+IF(Calc!D7=1,0.05*labour_rate,0)))</f>
        <v>10.0814177016359</v>
      </c>
      <c r="E10" s="37" t="n">
        <f aca="false">IF(Calc!E6=1,0,Calc!E18*(Calc!E10*labour_rate*IF(Calc!E7=1,Calc!E20,1)+IF(Calc!E7=1,0.05*labour_rate,0)))</f>
        <v>17.7971317079036</v>
      </c>
      <c r="F10" s="37" t="n">
        <f aca="false">IF(Calc!F6=1,0,Calc!F18*(Calc!F10*labour_rate*IF(Calc!F7=1,Calc!F20,1)+IF(Calc!F7=1,0.05*labour_rate,0)))</f>
        <v>53.8790970855355</v>
      </c>
      <c r="G10" s="37" t="n">
        <f aca="false">IF(Calc!G6=1,0,Calc!G18*(Calc!G10*labour_rate*IF(Calc!G7=1,Calc!G20,1)+IF(Calc!G7=1,0.05*labour_rate,0)))</f>
        <v>0</v>
      </c>
      <c r="H10" s="37" t="n">
        <f aca="false">IF(Calc!H6=1,0,Calc!H18*(Calc!H10*labour_rate*IF(Calc!H7=1,Calc!H20,1)+IF(Calc!H7=1,0.05*labour_rate,0)))</f>
        <v>0</v>
      </c>
      <c r="I10" s="23"/>
    </row>
    <row r="11" customFormat="false" ht="15" hidden="false" customHeight="false" outlineLevel="0" collapsed="false">
      <c r="A11" s="12" t="s">
        <v>422</v>
      </c>
      <c r="B11" s="12" t="s">
        <v>414</v>
      </c>
      <c r="C11" s="23"/>
      <c r="D11" s="37" t="n">
        <f aca="false">Calc!D18*Calc!D20*repair_share*d_mass*(price_kg+manuf_cost*d_cost)</f>
        <v>0</v>
      </c>
      <c r="E11" s="37" t="n">
        <f aca="false">Calc!E18*Calc!E20*repair_share*d_mass*(price_kg+manuf_cost*d_cost)</f>
        <v>4.69484208670539</v>
      </c>
      <c r="F11" s="37" t="n">
        <f aca="false">Calc!F18*Calc!F20*repair_share*d_mass*(price_kg+manuf_cost*d_cost)</f>
        <v>0</v>
      </c>
      <c r="G11" s="37" t="n">
        <f aca="false">Calc!G18*Calc!G20*repair_share*d_mass*(price_kg+manuf_cost*d_cost)</f>
        <v>0</v>
      </c>
      <c r="H11" s="37" t="n">
        <f aca="false">Calc!H18*Calc!H20*repair_share*d_mass*(price_kg+manuf_cost*d_cost)</f>
        <v>0</v>
      </c>
      <c r="I11" s="23"/>
    </row>
    <row r="12" customFormat="false" ht="15" hidden="false" customHeight="false" outlineLevel="0" collapsed="false">
      <c r="A12" s="12" t="s">
        <v>423</v>
      </c>
      <c r="B12" s="12" t="s">
        <v>414</v>
      </c>
      <c r="C12" s="23"/>
      <c r="D12" s="37" t="n">
        <f aca="false">d_mass/1000*ctx_eol_km*transport_cost</f>
        <v>0.3</v>
      </c>
      <c r="E12" s="37" t="n">
        <f aca="false">d_mass/1000*ctx_eol_km*transport_cost</f>
        <v>0.3</v>
      </c>
      <c r="F12" s="37" t="n">
        <f aca="false">d_mass/1000*ctx_eol_km*transport_cost</f>
        <v>0.3</v>
      </c>
      <c r="G12" s="37" t="n">
        <f aca="false">d_mass/1000*ctx_eol_km*transport_cost</f>
        <v>0.3</v>
      </c>
      <c r="H12" s="37" t="n">
        <f aca="false">d_mass/1000*ctx_eol_km*transport_cost</f>
        <v>0.3</v>
      </c>
      <c r="I12" s="23"/>
    </row>
    <row r="13" customFormat="false" ht="15" hidden="false" customHeight="false" outlineLevel="0" collapsed="false">
      <c r="A13" s="12" t="s">
        <v>424</v>
      </c>
      <c r="B13" s="12" t="s">
        <v>414</v>
      </c>
      <c r="C13" s="23" t="s">
        <v>425</v>
      </c>
      <c r="D13" s="37" t="n">
        <f aca="false">IF(Calc!D12=1,0,-d_mass*Calc!D23*price_kg*scrap_price_ratio)</f>
        <v>-21.15099</v>
      </c>
      <c r="E13" s="37" t="n">
        <f aca="false">IF(Calc!E12=1,0,-d_mass*Calc!E23*price_kg*scrap_price_ratio)</f>
        <v>-21.15099</v>
      </c>
      <c r="F13" s="37" t="n">
        <f aca="false">IF(Calc!F12=1,0,-d_mass*Calc!F23*price_kg*scrap_price_ratio)</f>
        <v>-21.15099</v>
      </c>
      <c r="G13" s="37" t="n">
        <f aca="false">IF(Calc!G12=1,0,-d_mass*Calc!G23*price_kg*scrap_price_ratio)</f>
        <v>-21.15099</v>
      </c>
      <c r="H13" s="37" t="n">
        <f aca="false">IF(Calc!H12=1,0,-d_mass*Calc!H23*price_kg*scrap_price_ratio)</f>
        <v>0</v>
      </c>
      <c r="I13" s="23"/>
    </row>
    <row r="14" customFormat="false" ht="15" hidden="false" customHeight="false" outlineLevel="0" collapsed="false">
      <c r="A14" s="12" t="s">
        <v>165</v>
      </c>
      <c r="B14" s="12" t="s">
        <v>414</v>
      </c>
      <c r="C14" s="23"/>
      <c r="D14" s="37" t="n">
        <f aca="false">IF(Calc!D12=1,d_mass*gate_fee,0)</f>
        <v>0</v>
      </c>
      <c r="E14" s="37" t="n">
        <f aca="false">IF(Calc!E12=1,d_mass*gate_fee,0)</f>
        <v>0</v>
      </c>
      <c r="F14" s="37" t="n">
        <f aca="false">IF(Calc!F12=1,d_mass*gate_fee,0)</f>
        <v>0</v>
      </c>
      <c r="G14" s="37" t="n">
        <f aca="false">IF(Calc!G12=1,d_mass*gate_fee,0)</f>
        <v>0</v>
      </c>
      <c r="H14" s="37" t="n">
        <f aca="false">IF(Calc!H12=1,d_mass*gate_fee,0)</f>
        <v>1.8</v>
      </c>
      <c r="I14" s="23"/>
    </row>
    <row r="15" customFormat="false" ht="15" hidden="false" customHeight="false" outlineLevel="0" collapsed="false">
      <c r="A15" s="31" t="s">
        <v>426</v>
      </c>
      <c r="B15" s="31" t="s">
        <v>414</v>
      </c>
      <c r="C15" s="32"/>
      <c r="D15" s="38" t="n">
        <f aca="false">SUM(D6:D14)</f>
        <v>179.389610723258</v>
      </c>
      <c r="E15" s="38" t="n">
        <f aca="false">SUM(E6:E14)</f>
        <v>200.107268032433</v>
      </c>
      <c r="F15" s="38" t="n">
        <f aca="false">SUM(F6:F14)</f>
        <v>226.705592132211</v>
      </c>
      <c r="G15" s="38" t="n">
        <f aca="false">SUM(G6:G14)</f>
        <v>125.42901</v>
      </c>
      <c r="H15" s="38" t="n">
        <f aca="false">SUM(H6:H14)</f>
        <v>148.38</v>
      </c>
      <c r="I15" s="23"/>
    </row>
    <row r="16" customFormat="false" ht="15" hidden="false" customHeight="false" outlineLevel="0" collapsed="false">
      <c r="A16" s="27" t="s">
        <v>427</v>
      </c>
      <c r="B16" s="27" t="s">
        <v>428</v>
      </c>
      <c r="C16" s="23"/>
      <c r="D16" s="39" t="n">
        <f aca="false">D15/Calc!D18*(1+bm_margin)</f>
        <v>48.0440314336149</v>
      </c>
      <c r="E16" s="39" t="n">
        <f aca="false">E15/Calc!E18*(1+bm_margin)</f>
        <v>46.0959540038061</v>
      </c>
      <c r="F16" s="39" t="n">
        <f aca="false">F15/Calc!F18*(1+bm_margin)</f>
        <v>56.8035779984607</v>
      </c>
      <c r="G16" s="39" t="n">
        <f aca="false">G15/Calc!G18*(1+bm_margin)</f>
        <v>150.514812</v>
      </c>
      <c r="H16" s="39" t="n">
        <f aca="false">H15/Calc!H18*(1+bm_margin)</f>
        <v>178.056</v>
      </c>
      <c r="I1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8" min="4" style="0" width="14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429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430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1" t="s">
        <v>431</v>
      </c>
      <c r="B4" s="11" t="s">
        <v>54</v>
      </c>
      <c r="C4" s="11" t="s">
        <v>290</v>
      </c>
      <c r="D4" s="11" t="str">
        <f aca="false">Strategies!A2</f>
        <v>reuse</v>
      </c>
      <c r="E4" s="11" t="str">
        <f aca="false">Strategies!A3</f>
        <v>repair</v>
      </c>
      <c r="F4" s="11" t="str">
        <f aca="false">Strategies!A4</f>
        <v>reprocessing</v>
      </c>
      <c r="G4" s="11" t="str">
        <f aca="false">Strategies!A5</f>
        <v>recycling</v>
      </c>
      <c r="H4" s="11" t="str">
        <f aca="false">Strategies!A6</f>
        <v>disposal</v>
      </c>
      <c r="I4" s="11" t="s">
        <v>291</v>
      </c>
    </row>
    <row r="5" customFormat="false" ht="15" hidden="false" customHeight="false" outlineLevel="0" collapsed="false">
      <c r="A5" s="20" t="s">
        <v>432</v>
      </c>
      <c r="B5" s="20"/>
      <c r="C5" s="20"/>
      <c r="D5" s="20"/>
      <c r="E5" s="20"/>
      <c r="F5" s="20"/>
      <c r="G5" s="20"/>
      <c r="H5" s="20"/>
      <c r="I5" s="20"/>
    </row>
    <row r="6" customFormat="false" ht="15" hidden="false" customHeight="false" outlineLevel="0" collapsed="false">
      <c r="A6" s="12" t="s">
        <v>433</v>
      </c>
      <c r="B6" s="12" t="s">
        <v>313</v>
      </c>
      <c r="C6" s="23"/>
      <c r="D6" s="25" t="n">
        <f aca="false">Calc!D18</f>
        <v>4.48063008961594</v>
      </c>
      <c r="E6" s="25" t="n">
        <f aca="false">Calc!E18</f>
        <v>5.20932317875647</v>
      </c>
      <c r="F6" s="25" t="n">
        <f aca="false">Calc!F18</f>
        <v>4.78925307426982</v>
      </c>
      <c r="G6" s="25" t="n">
        <f aca="false">Calc!G18</f>
        <v>1</v>
      </c>
      <c r="H6" s="25" t="n">
        <f aca="false">Calc!H18</f>
        <v>1</v>
      </c>
      <c r="I6" s="23"/>
    </row>
    <row r="7" customFormat="false" ht="15" hidden="false" customHeight="false" outlineLevel="0" collapsed="false">
      <c r="A7" s="12" t="s">
        <v>434</v>
      </c>
      <c r="B7" s="12" t="s">
        <v>317</v>
      </c>
      <c r="C7" s="23"/>
      <c r="D7" s="25" t="n">
        <f aca="false">Calc!D19</f>
        <v>3.48063008961594</v>
      </c>
      <c r="E7" s="25" t="n">
        <f aca="false">Calc!E19</f>
        <v>4.20932317875647</v>
      </c>
      <c r="F7" s="25" t="n">
        <f aca="false">Calc!F19</f>
        <v>3.78925307426982</v>
      </c>
      <c r="G7" s="25" t="n">
        <f aca="false">Calc!G19</f>
        <v>0</v>
      </c>
      <c r="H7" s="25" t="n">
        <f aca="false">Calc!H19</f>
        <v>0</v>
      </c>
      <c r="I7" s="23"/>
    </row>
    <row r="8" customFormat="false" ht="15" hidden="false" customHeight="false" outlineLevel="0" collapsed="false">
      <c r="A8" s="27" t="s">
        <v>435</v>
      </c>
      <c r="B8" s="27" t="s">
        <v>406</v>
      </c>
      <c r="C8" s="23" t="s">
        <v>436</v>
      </c>
      <c r="D8" s="40" t="n">
        <f aca="false">LCIA_GWP!D24</f>
        <v>5.74134134243278</v>
      </c>
      <c r="E8" s="40" t="n">
        <f aca="false">LCIA_GWP!E24</f>
        <v>5.53174484352606</v>
      </c>
      <c r="F8" s="40" t="n">
        <f aca="false">LCIA_GWP!F24</f>
        <v>8.74686665964235</v>
      </c>
      <c r="G8" s="40" t="n">
        <f aca="false">LCIA_GWP!G24</f>
        <v>21.106</v>
      </c>
      <c r="H8" s="40" t="n">
        <f aca="false">LCIA_GWP!H24</f>
        <v>62.6608</v>
      </c>
      <c r="I8" s="23"/>
    </row>
    <row r="9" customFormat="false" ht="15" hidden="false" customHeight="false" outlineLevel="0" collapsed="false">
      <c r="A9" s="27" t="s">
        <v>437</v>
      </c>
      <c r="B9" s="27" t="s">
        <v>428</v>
      </c>
      <c r="C9" s="23" t="s">
        <v>438</v>
      </c>
      <c r="D9" s="39" t="n">
        <f aca="false">Cost!D16</f>
        <v>48.0440314336149</v>
      </c>
      <c r="E9" s="39" t="n">
        <f aca="false">Cost!E16</f>
        <v>46.0959540038061</v>
      </c>
      <c r="F9" s="39" t="n">
        <f aca="false">Cost!F16</f>
        <v>56.8035779984607</v>
      </c>
      <c r="G9" s="39" t="n">
        <f aca="false">Cost!G16</f>
        <v>150.514812</v>
      </c>
      <c r="H9" s="39" t="n">
        <f aca="false">Cost!H16</f>
        <v>178.056</v>
      </c>
      <c r="I9" s="23"/>
    </row>
    <row r="10" customFormat="false" ht="15" hidden="false" customHeight="false" outlineLevel="0" collapsed="false">
      <c r="A10" s="12" t="s">
        <v>439</v>
      </c>
      <c r="B10" s="12" t="s">
        <v>262</v>
      </c>
      <c r="C10" s="23" t="s">
        <v>440</v>
      </c>
      <c r="D10" s="29" t="n">
        <f aca="false">d_mass*(1-recycled_content)</f>
        <v>8.4</v>
      </c>
      <c r="E10" s="29" t="n">
        <f aca="false">d_mass*(1-recycled_content)</f>
        <v>8.4</v>
      </c>
      <c r="F10" s="29" t="n">
        <f aca="false">d_mass*(1-recycled_content)</f>
        <v>8.4</v>
      </c>
      <c r="G10" s="29" t="n">
        <f aca="false">d_mass*(1-recycled_content)</f>
        <v>8.4</v>
      </c>
      <c r="H10" s="29" t="n">
        <f aca="false">d_mass*(1-recycled_content)</f>
        <v>8.4</v>
      </c>
      <c r="I10" s="23"/>
    </row>
    <row r="11" customFormat="false" ht="15" hidden="false" customHeight="false" outlineLevel="0" collapsed="false">
      <c r="A11" s="12" t="s">
        <v>441</v>
      </c>
      <c r="B11" s="12" t="s">
        <v>262</v>
      </c>
      <c r="C11" s="23" t="s">
        <v>440</v>
      </c>
      <c r="D11" s="29" t="n">
        <f aca="false">d_mass*(1-Calc!D23)</f>
        <v>1.17</v>
      </c>
      <c r="E11" s="29" t="n">
        <f aca="false">d_mass*(1-Calc!E23)</f>
        <v>1.17</v>
      </c>
      <c r="F11" s="29" t="n">
        <f aca="false">d_mass*(1-Calc!F23)</f>
        <v>1.17</v>
      </c>
      <c r="G11" s="29" t="n">
        <f aca="false">d_mass*(1-Calc!G23)</f>
        <v>1.17</v>
      </c>
      <c r="H11" s="29" t="n">
        <f aca="false">d_mass*(1-Calc!H23)</f>
        <v>9.6</v>
      </c>
      <c r="I11" s="23"/>
    </row>
    <row r="12" customFormat="false" ht="15" hidden="false" customHeight="false" outlineLevel="0" collapsed="false">
      <c r="A12" s="12" t="s">
        <v>442</v>
      </c>
      <c r="B12" s="12" t="s">
        <v>443</v>
      </c>
      <c r="C12" s="23" t="s">
        <v>444</v>
      </c>
      <c r="D12" s="29" t="n">
        <f aca="false">(D10+D11)/(2*d_mass)</f>
        <v>0.39875</v>
      </c>
      <c r="E12" s="29" t="n">
        <f aca="false">(E10+E11)/(2*d_mass)</f>
        <v>0.39875</v>
      </c>
      <c r="F12" s="29" t="n">
        <f aca="false">(F10+F11)/(2*d_mass)</f>
        <v>0.39875</v>
      </c>
      <c r="G12" s="29" t="n">
        <f aca="false">(G10+G11)/(2*d_mass)</f>
        <v>0.39875</v>
      </c>
      <c r="H12" s="29" t="n">
        <f aca="false">(H10+H11)/(2*d_mass)</f>
        <v>0.75</v>
      </c>
      <c r="I12" s="23"/>
    </row>
    <row r="13" customFormat="false" ht="15" hidden="false" customHeight="false" outlineLevel="0" collapsed="false">
      <c r="A13" s="27" t="s">
        <v>445</v>
      </c>
      <c r="B13" s="27" t="s">
        <v>446</v>
      </c>
      <c r="C13" s="23" t="s">
        <v>447</v>
      </c>
      <c r="D13" s="41" t="n">
        <f aca="false">MAX(0,1-D12*0.9/MAX(Calc!D18,1))</f>
        <v>0.919905238142352</v>
      </c>
      <c r="E13" s="41" t="n">
        <f aca="false">MAX(0,1-E12*0.9/MAX(Calc!E18,1))</f>
        <v>0.931109092739056</v>
      </c>
      <c r="F13" s="41" t="n">
        <f aca="false">MAX(0,1-F12*0.9/MAX(Calc!F18,1))</f>
        <v>0.925066603406688</v>
      </c>
      <c r="G13" s="41" t="n">
        <f aca="false">MAX(0,1-G12*0.9/MAX(Calc!G18,1))</f>
        <v>0.641125</v>
      </c>
      <c r="H13" s="41" t="n">
        <f aca="false">MAX(0,1-H12*0.9/MAX(Calc!H18,1))</f>
        <v>0.325</v>
      </c>
      <c r="I13" s="23" t="s">
        <v>448</v>
      </c>
    </row>
    <row r="14" customFormat="false" ht="15" hidden="false" customHeight="false" outlineLevel="0" collapsed="false">
      <c r="A14" s="12" t="s">
        <v>449</v>
      </c>
      <c r="B14" s="12" t="s">
        <v>97</v>
      </c>
      <c r="C14" s="23"/>
      <c r="D14" s="26" t="n">
        <f aca="false">Calc!D23</f>
        <v>0.9025</v>
      </c>
      <c r="E14" s="26" t="n">
        <f aca="false">Calc!E23</f>
        <v>0.9025</v>
      </c>
      <c r="F14" s="26" t="n">
        <f aca="false">Calc!F23</f>
        <v>0.9025</v>
      </c>
      <c r="G14" s="26" t="n">
        <f aca="false">Calc!G23</f>
        <v>0.9025</v>
      </c>
      <c r="H14" s="26" t="n">
        <f aca="false">Calc!H23</f>
        <v>0.2</v>
      </c>
      <c r="I14" s="23"/>
    </row>
    <row r="15" customFormat="false" ht="15" hidden="false" customHeight="false" outlineLevel="0" collapsed="false">
      <c r="A15" s="12" t="s">
        <v>450</v>
      </c>
      <c r="B15" s="12" t="s">
        <v>451</v>
      </c>
      <c r="C15" s="23"/>
      <c r="D15" s="29" t="n">
        <f aca="false">MAX(d_mass*(1-recycled_content)-Calc!D24,0)/Calc!D18</f>
        <v>0.261123988501422</v>
      </c>
      <c r="E15" s="29" t="n">
        <f aca="false">MAX(d_mass*(1-recycled_content)-Calc!E24,0)/Calc!E18</f>
        <v>0.224597315208094</v>
      </c>
      <c r="F15" s="29" t="n">
        <f aca="false">MAX(d_mass*(1-recycled_content)-Calc!F24,0)/Calc!F18</f>
        <v>0.244296966949983</v>
      </c>
      <c r="G15" s="29" t="n">
        <f aca="false">MAX(d_mass*(1-recycled_content)-Calc!G24,0)/Calc!G18</f>
        <v>1.17</v>
      </c>
      <c r="H15" s="29" t="n">
        <f aca="false">MAX(d_mass*(1-recycled_content)-Calc!H24,0)/Calc!H18</f>
        <v>8.4</v>
      </c>
      <c r="I15" s="23"/>
    </row>
    <row r="16" customFormat="false" ht="15" hidden="false" customHeight="false" outlineLevel="0" collapsed="false">
      <c r="A16" s="12" t="s">
        <v>452</v>
      </c>
      <c r="B16" s="12" t="s">
        <v>446</v>
      </c>
      <c r="C16" s="23"/>
      <c r="D16" s="42" t="n">
        <f aca="false">IF(Calc!D6=1,1,IF(Calc!D7=1,0.5+0.5*d_repair,0.5+0.5*d_disasm))</f>
        <v>0.95</v>
      </c>
      <c r="E16" s="42" t="n">
        <f aca="false">IF(Calc!E6=1,1,IF(Calc!E7=1,0.5+0.5*d_repair,0.5+0.5*d_disasm))</f>
        <v>0.95</v>
      </c>
      <c r="F16" s="42" t="n">
        <f aca="false">IF(Calc!F6=1,1,IF(Calc!F7=1,0.5+0.5*d_repair,0.5+0.5*d_disasm))</f>
        <v>0.95</v>
      </c>
      <c r="G16" s="42" t="n">
        <f aca="false">IF(Calc!G6=1,1,IF(Calc!G7=1,0.5+0.5*d_repair,0.5+0.5*d_disasm))</f>
        <v>1</v>
      </c>
      <c r="H16" s="42" t="n">
        <f aca="false">IF(Calc!H6=1,1,IF(Calc!H7=1,0.5+0.5*d_repair,0.5+0.5*d_disasm))</f>
        <v>1</v>
      </c>
      <c r="I16" s="23"/>
    </row>
    <row r="17" customFormat="false" ht="15" hidden="false" customHeight="false" outlineLevel="0" collapsed="false">
      <c r="A17" s="12" t="s">
        <v>453</v>
      </c>
      <c r="B17" s="12" t="s">
        <v>446</v>
      </c>
      <c r="C17" s="23"/>
      <c r="D17" s="42" t="n">
        <f aca="false">IF(Calc!D6=1,1,0.6+0.4*bm_redeploy)</f>
        <v>0.98</v>
      </c>
      <c r="E17" s="42" t="n">
        <f aca="false">IF(Calc!E6=1,1,0.6+0.4*bm_redeploy)</f>
        <v>0.98</v>
      </c>
      <c r="F17" s="42" t="n">
        <f aca="false">IF(Calc!F6=1,1,0.6+0.4*bm_redeploy)</f>
        <v>0.98</v>
      </c>
      <c r="G17" s="42" t="n">
        <f aca="false">IF(Calc!G6=1,1,0.6+0.4*bm_redeploy)</f>
        <v>1</v>
      </c>
      <c r="H17" s="42" t="n">
        <f aca="false">IF(Calc!H6=1,1,0.6+0.4*bm_redeploy)</f>
        <v>1</v>
      </c>
      <c r="I17" s="23"/>
    </row>
    <row r="18" customFormat="false" ht="15" hidden="false" customHeight="false" outlineLevel="0" collapsed="false">
      <c r="A18" s="27" t="s">
        <v>454</v>
      </c>
      <c r="B18" s="27" t="s">
        <v>446</v>
      </c>
      <c r="C18" s="23" t="s">
        <v>455</v>
      </c>
      <c r="D18" s="41" t="n">
        <f aca="false">Calc!D11*D16*dist_factor*D17</f>
        <v>0.63308</v>
      </c>
      <c r="E18" s="41" t="n">
        <f aca="false">Calc!E11*E16*dist_factor*E17</f>
        <v>0.5586</v>
      </c>
      <c r="F18" s="41" t="n">
        <f aca="false">Calc!F11*F16*dist_factor*F17</f>
        <v>0.48412</v>
      </c>
      <c r="G18" s="41" t="n">
        <f aca="false">Calc!G11*G16*dist_factor*G17</f>
        <v>0.72</v>
      </c>
      <c r="H18" s="41" t="n">
        <f aca="false">Calc!H11*H16*dist_factor*H17</f>
        <v>0.8</v>
      </c>
      <c r="I18" s="23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0" t="s">
        <v>456</v>
      </c>
      <c r="B20" s="20"/>
      <c r="C20" s="20"/>
      <c r="D20" s="20"/>
      <c r="E20" s="20"/>
      <c r="F20" s="20"/>
      <c r="G20" s="20"/>
      <c r="H20" s="20"/>
      <c r="I20" s="20"/>
    </row>
    <row r="21" customFormat="false" ht="15" hidden="false" customHeight="false" outlineLevel="0" collapsed="false">
      <c r="A21" s="19" t="s">
        <v>457</v>
      </c>
      <c r="B21" s="2"/>
      <c r="C21" s="2"/>
      <c r="D21" s="43" t="n">
        <v>0.5</v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19" t="s">
        <v>458</v>
      </c>
      <c r="B22" s="2"/>
      <c r="C22" s="2"/>
      <c r="D22" s="43" t="n">
        <v>0.25</v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19" t="s">
        <v>459</v>
      </c>
      <c r="B23" s="2"/>
      <c r="C23" s="2"/>
      <c r="D23" s="43" t="n">
        <v>0.15</v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19" t="s">
        <v>460</v>
      </c>
      <c r="B24" s="2"/>
      <c r="C24" s="2"/>
      <c r="D24" s="43" t="n">
        <v>0.1</v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20" t="s">
        <v>461</v>
      </c>
      <c r="B25" s="20"/>
      <c r="C25" s="20"/>
      <c r="D25" s="20"/>
      <c r="E25" s="20"/>
      <c r="F25" s="20"/>
      <c r="G25" s="20"/>
      <c r="H25" s="20"/>
      <c r="I25" s="20"/>
    </row>
    <row r="26" customFormat="false" ht="15" hidden="false" customHeight="false" outlineLevel="0" collapsed="false">
      <c r="A26" s="12" t="s">
        <v>462</v>
      </c>
      <c r="B26" s="12" t="s">
        <v>446</v>
      </c>
      <c r="C26" s="23"/>
      <c r="D26" s="42" t="n">
        <f aca="false">IF(MAX($D$8:$H$8)-MIN($D$8:$H$8)&lt;0.000000000001,0.5,1-(D8-MIN($D$8:$H$8))/(MAX($D$8:$H$8)-MIN($D$8:$H$8)))</f>
        <v>0.996331175120389</v>
      </c>
      <c r="E26" s="42" t="n">
        <f aca="false">IF(MAX($D$8:$H$8)-MIN($D$8:$H$8)&lt;0.000000000001,0.5,1-(E8-MIN($D$8:$H$8))/(MAX($D$8:$H$8)-MIN($D$8:$H$8)))</f>
        <v>1</v>
      </c>
      <c r="F26" s="42" t="n">
        <f aca="false">IF(MAX($D$8:$H$8)-MIN($D$8:$H$8)&lt;0.000000000001,0.5,1-(F8-MIN($D$8:$H$8))/(MAX($D$8:$H$8)-MIN($D$8:$H$8)))</f>
        <v>0.943721775070317</v>
      </c>
      <c r="G26" s="42" t="n">
        <f aca="false">IF(MAX($D$8:$H$8)-MIN($D$8:$H$8)&lt;0.000000000001,0.5,1-(G8-MIN($D$8:$H$8))/(MAX($D$8:$H$8)-MIN($D$8:$H$8)))</f>
        <v>0.727384688687451</v>
      </c>
      <c r="H26" s="42" t="n">
        <f aca="false">IF(MAX($D$8:$H$8)-MIN($D$8:$H$8)&lt;0.000000000001,0.5,1-(H8-MIN($D$8:$H$8))/(MAX($D$8:$H$8)-MIN($D$8:$H$8)))</f>
        <v>0</v>
      </c>
      <c r="I26" s="23"/>
    </row>
    <row r="27" customFormat="false" ht="15" hidden="false" customHeight="false" outlineLevel="0" collapsed="false">
      <c r="A27" s="12" t="s">
        <v>463</v>
      </c>
      <c r="B27" s="12" t="s">
        <v>446</v>
      </c>
      <c r="C27" s="23"/>
      <c r="D27" s="42" t="n">
        <f aca="false">MIN(1,MAX(0,D13))</f>
        <v>0.919905238142352</v>
      </c>
      <c r="E27" s="42" t="n">
        <f aca="false">MIN(1,MAX(0,E13))</f>
        <v>0.931109092739056</v>
      </c>
      <c r="F27" s="42" t="n">
        <f aca="false">MIN(1,MAX(0,F13))</f>
        <v>0.925066603406688</v>
      </c>
      <c r="G27" s="42" t="n">
        <f aca="false">MIN(1,MAX(0,G13))</f>
        <v>0.641125</v>
      </c>
      <c r="H27" s="42" t="n">
        <f aca="false">MIN(1,MAX(0,H13))</f>
        <v>0.325</v>
      </c>
      <c r="I27" s="23"/>
    </row>
    <row r="28" customFormat="false" ht="15" hidden="false" customHeight="false" outlineLevel="0" collapsed="false">
      <c r="A28" s="12" t="s">
        <v>464</v>
      </c>
      <c r="B28" s="12" t="s">
        <v>446</v>
      </c>
      <c r="C28" s="23"/>
      <c r="D28" s="42" t="n">
        <f aca="false">IF(MAX($D$9:$H$9)-MIN($D$9:$H$9)&lt;0.000000000001,0.5,1-(D9-MIN($D$9:$H$9))/(MAX($D$9:$H$9)-MIN($D$9:$H$9)))</f>
        <v>0.985237369272629</v>
      </c>
      <c r="E28" s="42" t="n">
        <f aca="false">IF(MAX($D$9:$H$9)-MIN($D$9:$H$9)&lt;0.000000000001,0.5,1-(E9-MIN($D$9:$H$9))/(MAX($D$9:$H$9)-MIN($D$9:$H$9)))</f>
        <v>1</v>
      </c>
      <c r="F28" s="42" t="n">
        <f aca="false">IF(MAX($D$9:$H$9)-MIN($D$9:$H$9)&lt;0.000000000001,0.5,1-(F9-MIN($D$9:$H$9))/(MAX($D$9:$H$9)-MIN($D$9:$H$9)))</f>
        <v>0.918857075913997</v>
      </c>
      <c r="G28" s="42" t="n">
        <f aca="false">IF(MAX($D$9:$H$9)-MIN($D$9:$H$9)&lt;0.000000000001,0.5,1-(G9-MIN($D$9:$H$9))/(MAX($D$9:$H$9)-MIN($D$9:$H$9)))</f>
        <v>0.208708535921504</v>
      </c>
      <c r="H28" s="42" t="n">
        <f aca="false">IF(MAX($D$9:$H$9)-MIN($D$9:$H$9)&lt;0.000000000001,0.5,1-(H9-MIN($D$9:$H$9))/(MAX($D$9:$H$9)-MIN($D$9:$H$9)))</f>
        <v>0</v>
      </c>
      <c r="I28" s="23"/>
    </row>
    <row r="29" customFormat="false" ht="15" hidden="false" customHeight="false" outlineLevel="0" collapsed="false">
      <c r="A29" s="12" t="s">
        <v>454</v>
      </c>
      <c r="B29" s="12" t="s">
        <v>446</v>
      </c>
      <c r="C29" s="23"/>
      <c r="D29" s="42" t="n">
        <f aca="false">MIN(1,MAX(0,D18))</f>
        <v>0.63308</v>
      </c>
      <c r="E29" s="42" t="n">
        <f aca="false">MIN(1,MAX(0,E18))</f>
        <v>0.5586</v>
      </c>
      <c r="F29" s="42" t="n">
        <f aca="false">MIN(1,MAX(0,F18))</f>
        <v>0.48412</v>
      </c>
      <c r="G29" s="42" t="n">
        <f aca="false">MIN(1,MAX(0,G18))</f>
        <v>0.72</v>
      </c>
      <c r="H29" s="42" t="n">
        <f aca="false">MIN(1,MAX(0,H18))</f>
        <v>0.8</v>
      </c>
      <c r="I29" s="23"/>
    </row>
    <row r="30" customFormat="false" ht="15" hidden="false" customHeight="false" outlineLevel="0" collapsed="false">
      <c r="A30" s="31" t="s">
        <v>465</v>
      </c>
      <c r="B30" s="31" t="s">
        <v>446</v>
      </c>
      <c r="C30" s="32"/>
      <c r="D30" s="44" t="n">
        <f aca="false">(D26*w_environment+D27*w_circularity+D28*w_economics+D29*w_feasibility)/(w_environment+w_circularity+w_economics+w_feasibility)</f>
        <v>0.939235502486677</v>
      </c>
      <c r="E30" s="44" t="n">
        <f aca="false">(E26*w_environment+E27*w_circularity+E28*w_economics+E29*w_feasibility)/(w_environment+w_circularity+w_economics+w_feasibility)</f>
        <v>0.938637273184764</v>
      </c>
      <c r="F30" s="44" t="n">
        <f aca="false">(F26*w_environment+F27*w_circularity+F28*w_economics+F29*w_feasibility)/(w_environment+w_circularity+w_economics+w_feasibility)</f>
        <v>0.88936809977393</v>
      </c>
      <c r="G30" s="44" t="n">
        <f aca="false">(G26*w_environment+G27*w_circularity+G28*w_economics+G29*w_feasibility)/(w_environment+w_circularity+w_economics+w_feasibility)</f>
        <v>0.627279874731951</v>
      </c>
      <c r="H30" s="44" t="n">
        <f aca="false">(H26*w_environment+H27*w_circularity+H28*w_economics+H29*w_feasibility)/(w_environment+w_circularity+w_economics+w_feasibility)</f>
        <v>0.16125</v>
      </c>
      <c r="I30" s="23"/>
    </row>
    <row r="31" customFormat="false" ht="15" hidden="false" customHeight="false" outlineLevel="0" collapsed="false">
      <c r="A31" s="27" t="s">
        <v>466</v>
      </c>
      <c r="B31" s="27" t="s">
        <v>467</v>
      </c>
      <c r="C31" s="23"/>
      <c r="D31" s="45" t="n">
        <f aca="false">RANK(D30,$D$30:$H$30,0)</f>
        <v>1</v>
      </c>
      <c r="E31" s="45" t="n">
        <f aca="false">RANK(E30,$D$30:$H$30,0)</f>
        <v>2</v>
      </c>
      <c r="F31" s="45" t="n">
        <f aca="false">RANK(F30,$D$30:$H$30,0)</f>
        <v>3</v>
      </c>
      <c r="G31" s="45" t="n">
        <f aca="false">RANK(G30,$D$30:$H$30,0)</f>
        <v>4</v>
      </c>
      <c r="H31" s="45" t="n">
        <f aca="false">RANK(H30,$D$30:$H$30,0)</f>
        <v>5</v>
      </c>
      <c r="I31" s="23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6" t="s">
        <v>468</v>
      </c>
      <c r="B33" s="2"/>
      <c r="C33" s="2"/>
      <c r="D33" s="46" t="str">
        <f aca="false">INDEX($D$4:$H$4,MATCH(MAX($D$30:$H$30),$D$30:$H$30,0))</f>
        <v>reuse</v>
      </c>
      <c r="E33" s="2"/>
      <c r="F33" s="2"/>
      <c r="G33" s="2"/>
      <c r="H33" s="2"/>
      <c r="I33" s="2"/>
    </row>
    <row r="34" customFormat="false" ht="15" hidden="false" customHeight="false" outlineLevel="0" collapsed="false">
      <c r="A34" s="6" t="s">
        <v>469</v>
      </c>
      <c r="B34" s="2"/>
      <c r="C34" s="2"/>
      <c r="D34" s="27" t="str">
        <f aca="false">INDEX($D$4:$H$4,MATCH(MIN($D$8:$H$8),$D$8:$H$8,0))</f>
        <v>repair</v>
      </c>
      <c r="E34" s="2"/>
      <c r="F34" s="2"/>
      <c r="G34" s="2"/>
      <c r="H34" s="2"/>
      <c r="I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470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471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11" t="s">
        <v>431</v>
      </c>
      <c r="B4" s="11" t="s">
        <v>472</v>
      </c>
      <c r="C4" s="11" t="s">
        <v>473</v>
      </c>
      <c r="D4" s="11" t="s">
        <v>474</v>
      </c>
      <c r="E4" s="11" t="s">
        <v>475</v>
      </c>
      <c r="F4" s="11" t="s">
        <v>476</v>
      </c>
    </row>
    <row r="5" customFormat="false" ht="15" hidden="false" customHeight="false" outlineLevel="0" collapsed="false">
      <c r="A5" s="12" t="s">
        <v>433</v>
      </c>
      <c r="B5" s="12" t="s">
        <v>213</v>
      </c>
      <c r="C5" s="47" t="n">
        <v>4.48063008961594</v>
      </c>
      <c r="D5" s="48" t="n">
        <f aca="false">KPIs!D6</f>
        <v>4.48063008961594</v>
      </c>
      <c r="E5" s="34" t="n">
        <f aca="false">ABS(D5-C5)</f>
        <v>0</v>
      </c>
      <c r="F5" s="12" t="str">
        <f aca="false">IF(E5&lt;=0.000001*MAX(1,ABS(C5)),"OK","CHECK")</f>
        <v>OK</v>
      </c>
    </row>
    <row r="6" customFormat="false" ht="15" hidden="false" customHeight="false" outlineLevel="0" collapsed="false">
      <c r="A6" s="12" t="s">
        <v>433</v>
      </c>
      <c r="B6" s="12" t="s">
        <v>209</v>
      </c>
      <c r="C6" s="47" t="n">
        <v>5.20932317875647</v>
      </c>
      <c r="D6" s="48" t="n">
        <f aca="false">KPIs!E6</f>
        <v>5.20932317875647</v>
      </c>
      <c r="E6" s="34" t="n">
        <f aca="false">ABS(D6-C6)</f>
        <v>0</v>
      </c>
      <c r="F6" s="12" t="str">
        <f aca="false">IF(E6&lt;=0.000001*MAX(1,ABS(C6)),"OK","CHECK")</f>
        <v>OK</v>
      </c>
    </row>
    <row r="7" customFormat="false" ht="15" hidden="false" customHeight="false" outlineLevel="0" collapsed="false">
      <c r="A7" s="12" t="s">
        <v>433</v>
      </c>
      <c r="B7" s="12" t="s">
        <v>218</v>
      </c>
      <c r="C7" s="47" t="n">
        <v>4.78925307426982</v>
      </c>
      <c r="D7" s="48" t="n">
        <f aca="false">KPIs!F6</f>
        <v>4.78925307426982</v>
      </c>
      <c r="E7" s="34" t="n">
        <f aca="false">ABS(D7-C7)</f>
        <v>0</v>
      </c>
      <c r="F7" s="12" t="str">
        <f aca="false">IF(E7&lt;=0.000001*MAX(1,ABS(C7)),"OK","CHECK")</f>
        <v>OK</v>
      </c>
    </row>
    <row r="8" customFormat="false" ht="15" hidden="false" customHeight="false" outlineLevel="0" collapsed="false">
      <c r="A8" s="12" t="s">
        <v>433</v>
      </c>
      <c r="B8" s="12" t="s">
        <v>221</v>
      </c>
      <c r="C8" s="47" t="n">
        <v>1</v>
      </c>
      <c r="D8" s="48" t="n">
        <f aca="false">KPIs!G6</f>
        <v>1</v>
      </c>
      <c r="E8" s="34" t="n">
        <f aca="false">ABS(D8-C8)</f>
        <v>0</v>
      </c>
      <c r="F8" s="12" t="str">
        <f aca="false">IF(E8&lt;=0.000001*MAX(1,ABS(C8)),"OK","CHECK")</f>
        <v>OK</v>
      </c>
    </row>
    <row r="9" customFormat="false" ht="15" hidden="false" customHeight="false" outlineLevel="0" collapsed="false">
      <c r="A9" s="12" t="s">
        <v>433</v>
      </c>
      <c r="B9" s="12" t="s">
        <v>225</v>
      </c>
      <c r="C9" s="47" t="n">
        <v>1</v>
      </c>
      <c r="D9" s="48" t="n">
        <f aca="false">KPIs!H6</f>
        <v>1</v>
      </c>
      <c r="E9" s="34" t="n">
        <f aca="false">ABS(D9-C9)</f>
        <v>0</v>
      </c>
      <c r="F9" s="12" t="str">
        <f aca="false">IF(E9&lt;=0.000001*MAX(1,ABS(C9)),"OK","CHECK")</f>
        <v>OK</v>
      </c>
    </row>
    <row r="10" customFormat="false" ht="15" hidden="false" customHeight="false" outlineLevel="0" collapsed="false">
      <c r="A10" s="12" t="s">
        <v>477</v>
      </c>
      <c r="B10" s="12" t="s">
        <v>213</v>
      </c>
      <c r="C10" s="47" t="n">
        <v>5.74134134243279</v>
      </c>
      <c r="D10" s="48" t="n">
        <f aca="false">KPIs!D8</f>
        <v>5.74134134243278</v>
      </c>
      <c r="E10" s="34" t="n">
        <f aca="false">ABS(D10-C10)</f>
        <v>0</v>
      </c>
      <c r="F10" s="12" t="str">
        <f aca="false">IF(E10&lt;=0.000001*MAX(1,ABS(C10)),"OK","CHECK")</f>
        <v>OK</v>
      </c>
    </row>
    <row r="11" customFormat="false" ht="15" hidden="false" customHeight="false" outlineLevel="0" collapsed="false">
      <c r="A11" s="12" t="s">
        <v>477</v>
      </c>
      <c r="B11" s="12" t="s">
        <v>209</v>
      </c>
      <c r="C11" s="47" t="n">
        <v>5.53174484352606</v>
      </c>
      <c r="D11" s="48" t="n">
        <f aca="false">KPIs!E8</f>
        <v>5.53174484352606</v>
      </c>
      <c r="E11" s="34" t="n">
        <f aca="false">ABS(D11-C11)</f>
        <v>0</v>
      </c>
      <c r="F11" s="12" t="str">
        <f aca="false">IF(E11&lt;=0.000001*MAX(1,ABS(C11)),"OK","CHECK")</f>
        <v>OK</v>
      </c>
    </row>
    <row r="12" customFormat="false" ht="15" hidden="false" customHeight="false" outlineLevel="0" collapsed="false">
      <c r="A12" s="12" t="s">
        <v>477</v>
      </c>
      <c r="B12" s="12" t="s">
        <v>218</v>
      </c>
      <c r="C12" s="47" t="n">
        <v>8.74686665964236</v>
      </c>
      <c r="D12" s="48" t="n">
        <f aca="false">KPIs!F8</f>
        <v>8.74686665964235</v>
      </c>
      <c r="E12" s="34" t="n">
        <f aca="false">ABS(D12-C12)</f>
        <v>0</v>
      </c>
      <c r="F12" s="12" t="str">
        <f aca="false">IF(E12&lt;=0.000001*MAX(1,ABS(C12)),"OK","CHECK")</f>
        <v>OK</v>
      </c>
    </row>
    <row r="13" customFormat="false" ht="15" hidden="false" customHeight="false" outlineLevel="0" collapsed="false">
      <c r="A13" s="12" t="s">
        <v>477</v>
      </c>
      <c r="B13" s="12" t="s">
        <v>221</v>
      </c>
      <c r="C13" s="47" t="n">
        <v>21.106</v>
      </c>
      <c r="D13" s="48" t="n">
        <f aca="false">KPIs!G8</f>
        <v>21.106</v>
      </c>
      <c r="E13" s="34" t="n">
        <f aca="false">ABS(D13-C13)</f>
        <v>0</v>
      </c>
      <c r="F13" s="12" t="str">
        <f aca="false">IF(E13&lt;=0.000001*MAX(1,ABS(C13)),"OK","CHECK")</f>
        <v>OK</v>
      </c>
    </row>
    <row r="14" customFormat="false" ht="15" hidden="false" customHeight="false" outlineLevel="0" collapsed="false">
      <c r="A14" s="12" t="s">
        <v>477</v>
      </c>
      <c r="B14" s="12" t="s">
        <v>225</v>
      </c>
      <c r="C14" s="47" t="n">
        <v>62.6608</v>
      </c>
      <c r="D14" s="48" t="n">
        <f aca="false">KPIs!H8</f>
        <v>62.6608</v>
      </c>
      <c r="E14" s="34" t="n">
        <f aca="false">ABS(D14-C14)</f>
        <v>0</v>
      </c>
      <c r="F14" s="12" t="str">
        <f aca="false">IF(E14&lt;=0.000001*MAX(1,ABS(C14)),"OK","CHECK")</f>
        <v>OK</v>
      </c>
    </row>
    <row r="15" customFormat="false" ht="15" hidden="false" customHeight="false" outlineLevel="0" collapsed="false">
      <c r="A15" s="12" t="s">
        <v>478</v>
      </c>
      <c r="B15" s="12" t="s">
        <v>213</v>
      </c>
      <c r="C15" s="47" t="n">
        <v>48.0440314336149</v>
      </c>
      <c r="D15" s="48" t="n">
        <f aca="false">KPIs!D9</f>
        <v>48.0440314336149</v>
      </c>
      <c r="E15" s="34" t="n">
        <f aca="false">ABS(D15-C15)</f>
        <v>0</v>
      </c>
      <c r="F15" s="12" t="str">
        <f aca="false">IF(E15&lt;=0.000001*MAX(1,ABS(C15)),"OK","CHECK")</f>
        <v>OK</v>
      </c>
    </row>
    <row r="16" customFormat="false" ht="15" hidden="false" customHeight="false" outlineLevel="0" collapsed="false">
      <c r="A16" s="12" t="s">
        <v>478</v>
      </c>
      <c r="B16" s="12" t="s">
        <v>209</v>
      </c>
      <c r="C16" s="47" t="n">
        <v>46.0959540038062</v>
      </c>
      <c r="D16" s="48" t="n">
        <f aca="false">KPIs!E9</f>
        <v>46.0959540038061</v>
      </c>
      <c r="E16" s="34" t="n">
        <f aca="false">ABS(D16-C16)</f>
        <v>0</v>
      </c>
      <c r="F16" s="12" t="str">
        <f aca="false">IF(E16&lt;=0.000001*MAX(1,ABS(C16)),"OK","CHECK")</f>
        <v>OK</v>
      </c>
    </row>
    <row r="17" customFormat="false" ht="15" hidden="false" customHeight="false" outlineLevel="0" collapsed="false">
      <c r="A17" s="12" t="s">
        <v>478</v>
      </c>
      <c r="B17" s="12" t="s">
        <v>218</v>
      </c>
      <c r="C17" s="47" t="n">
        <v>56.8035779984608</v>
      </c>
      <c r="D17" s="48" t="n">
        <f aca="false">KPIs!F9</f>
        <v>56.8035779984607</v>
      </c>
      <c r="E17" s="34" t="n">
        <f aca="false">ABS(D17-C17)</f>
        <v>0</v>
      </c>
      <c r="F17" s="12" t="str">
        <f aca="false">IF(E17&lt;=0.000001*MAX(1,ABS(C17)),"OK","CHECK")</f>
        <v>OK</v>
      </c>
    </row>
    <row r="18" customFormat="false" ht="15" hidden="false" customHeight="false" outlineLevel="0" collapsed="false">
      <c r="A18" s="12" t="s">
        <v>478</v>
      </c>
      <c r="B18" s="12" t="s">
        <v>221</v>
      </c>
      <c r="C18" s="47" t="n">
        <v>150.514812</v>
      </c>
      <c r="D18" s="48" t="n">
        <f aca="false">KPIs!G9</f>
        <v>150.514812</v>
      </c>
      <c r="E18" s="34" t="n">
        <f aca="false">ABS(D18-C18)</f>
        <v>0</v>
      </c>
      <c r="F18" s="12" t="str">
        <f aca="false">IF(E18&lt;=0.000001*MAX(1,ABS(C18)),"OK","CHECK")</f>
        <v>OK</v>
      </c>
    </row>
    <row r="19" customFormat="false" ht="15" hidden="false" customHeight="false" outlineLevel="0" collapsed="false">
      <c r="A19" s="12" t="s">
        <v>478</v>
      </c>
      <c r="B19" s="12" t="s">
        <v>225</v>
      </c>
      <c r="C19" s="47" t="n">
        <v>178.056</v>
      </c>
      <c r="D19" s="48" t="n">
        <f aca="false">KPIs!H9</f>
        <v>178.056</v>
      </c>
      <c r="E19" s="34" t="n">
        <f aca="false">ABS(D19-C19)</f>
        <v>0</v>
      </c>
      <c r="F19" s="12" t="str">
        <f aca="false">IF(E19&lt;=0.000001*MAX(1,ABS(C19)),"OK","CHECK")</f>
        <v>OK</v>
      </c>
    </row>
    <row r="20" customFormat="false" ht="15" hidden="false" customHeight="false" outlineLevel="0" collapsed="false">
      <c r="A20" s="12" t="s">
        <v>479</v>
      </c>
      <c r="B20" s="12" t="s">
        <v>213</v>
      </c>
      <c r="C20" s="47" t="n">
        <v>0.919905238142352</v>
      </c>
      <c r="D20" s="48" t="n">
        <f aca="false">KPIs!D13</f>
        <v>0.919905238142352</v>
      </c>
      <c r="E20" s="34" t="n">
        <f aca="false">ABS(D20-C20)</f>
        <v>0</v>
      </c>
      <c r="F20" s="12" t="str">
        <f aca="false">IF(E20&lt;=0.000001*MAX(1,ABS(C20)),"OK","CHECK")</f>
        <v>OK</v>
      </c>
    </row>
    <row r="21" customFormat="false" ht="15" hidden="false" customHeight="false" outlineLevel="0" collapsed="false">
      <c r="A21" s="12" t="s">
        <v>479</v>
      </c>
      <c r="B21" s="12" t="s">
        <v>209</v>
      </c>
      <c r="C21" s="47" t="n">
        <v>0.931109092739056</v>
      </c>
      <c r="D21" s="48" t="n">
        <f aca="false">KPIs!E13</f>
        <v>0.931109092739056</v>
      </c>
      <c r="E21" s="34" t="n">
        <f aca="false">ABS(D21-C21)</f>
        <v>0</v>
      </c>
      <c r="F21" s="12" t="str">
        <f aca="false">IF(E21&lt;=0.000001*MAX(1,ABS(C21)),"OK","CHECK")</f>
        <v>OK</v>
      </c>
    </row>
    <row r="22" customFormat="false" ht="15" hidden="false" customHeight="false" outlineLevel="0" collapsed="false">
      <c r="A22" s="12" t="s">
        <v>479</v>
      </c>
      <c r="B22" s="12" t="s">
        <v>218</v>
      </c>
      <c r="C22" s="47" t="n">
        <v>0.925066603406688</v>
      </c>
      <c r="D22" s="48" t="n">
        <f aca="false">KPIs!F13</f>
        <v>0.925066603406688</v>
      </c>
      <c r="E22" s="34" t="n">
        <f aca="false">ABS(D22-C22)</f>
        <v>0</v>
      </c>
      <c r="F22" s="12" t="str">
        <f aca="false">IF(E22&lt;=0.000001*MAX(1,ABS(C22)),"OK","CHECK")</f>
        <v>OK</v>
      </c>
    </row>
    <row r="23" customFormat="false" ht="15" hidden="false" customHeight="false" outlineLevel="0" collapsed="false">
      <c r="A23" s="12" t="s">
        <v>479</v>
      </c>
      <c r="B23" s="12" t="s">
        <v>221</v>
      </c>
      <c r="C23" s="47" t="n">
        <v>0.641125</v>
      </c>
      <c r="D23" s="48" t="n">
        <f aca="false">KPIs!G13</f>
        <v>0.641125</v>
      </c>
      <c r="E23" s="34" t="n">
        <f aca="false">ABS(D23-C23)</f>
        <v>0</v>
      </c>
      <c r="F23" s="12" t="str">
        <f aca="false">IF(E23&lt;=0.000001*MAX(1,ABS(C23)),"OK","CHECK")</f>
        <v>OK</v>
      </c>
    </row>
    <row r="24" customFormat="false" ht="15" hidden="false" customHeight="false" outlineLevel="0" collapsed="false">
      <c r="A24" s="12" t="s">
        <v>479</v>
      </c>
      <c r="B24" s="12" t="s">
        <v>225</v>
      </c>
      <c r="C24" s="47" t="n">
        <v>0.325</v>
      </c>
      <c r="D24" s="48" t="n">
        <f aca="false">KPIs!H13</f>
        <v>0.325</v>
      </c>
      <c r="E24" s="34" t="n">
        <f aca="false">ABS(D24-C24)</f>
        <v>0</v>
      </c>
      <c r="F24" s="12" t="str">
        <f aca="false">IF(E24&lt;=0.000001*MAX(1,ABS(C24)),"OK","CHECK")</f>
        <v>OK</v>
      </c>
    </row>
    <row r="25" customFormat="false" ht="15" hidden="false" customHeight="false" outlineLevel="0" collapsed="false">
      <c r="A25" s="12" t="s">
        <v>449</v>
      </c>
      <c r="B25" s="12" t="s">
        <v>213</v>
      </c>
      <c r="C25" s="47" t="n">
        <v>0.9025</v>
      </c>
      <c r="D25" s="48" t="n">
        <f aca="false">KPIs!D14</f>
        <v>0.9025</v>
      </c>
      <c r="E25" s="34" t="n">
        <f aca="false">ABS(D25-C25)</f>
        <v>0</v>
      </c>
      <c r="F25" s="12" t="str">
        <f aca="false">IF(E25&lt;=0.000001*MAX(1,ABS(C25)),"OK","CHECK")</f>
        <v>OK</v>
      </c>
    </row>
    <row r="26" customFormat="false" ht="15" hidden="false" customHeight="false" outlineLevel="0" collapsed="false">
      <c r="A26" s="12" t="s">
        <v>449</v>
      </c>
      <c r="B26" s="12" t="s">
        <v>209</v>
      </c>
      <c r="C26" s="47" t="n">
        <v>0.9025</v>
      </c>
      <c r="D26" s="48" t="n">
        <f aca="false">KPIs!E14</f>
        <v>0.9025</v>
      </c>
      <c r="E26" s="34" t="n">
        <f aca="false">ABS(D26-C26)</f>
        <v>0</v>
      </c>
      <c r="F26" s="12" t="str">
        <f aca="false">IF(E26&lt;=0.000001*MAX(1,ABS(C26)),"OK","CHECK")</f>
        <v>OK</v>
      </c>
    </row>
    <row r="27" customFormat="false" ht="15" hidden="false" customHeight="false" outlineLevel="0" collapsed="false">
      <c r="A27" s="12" t="s">
        <v>449</v>
      </c>
      <c r="B27" s="12" t="s">
        <v>218</v>
      </c>
      <c r="C27" s="47" t="n">
        <v>0.9025</v>
      </c>
      <c r="D27" s="48" t="n">
        <f aca="false">KPIs!F14</f>
        <v>0.9025</v>
      </c>
      <c r="E27" s="34" t="n">
        <f aca="false">ABS(D27-C27)</f>
        <v>0</v>
      </c>
      <c r="F27" s="12" t="str">
        <f aca="false">IF(E27&lt;=0.000001*MAX(1,ABS(C27)),"OK","CHECK")</f>
        <v>OK</v>
      </c>
    </row>
    <row r="28" customFormat="false" ht="15" hidden="false" customHeight="false" outlineLevel="0" collapsed="false">
      <c r="A28" s="12" t="s">
        <v>449</v>
      </c>
      <c r="B28" s="12" t="s">
        <v>221</v>
      </c>
      <c r="C28" s="47" t="n">
        <v>0.9025</v>
      </c>
      <c r="D28" s="48" t="n">
        <f aca="false">KPIs!G14</f>
        <v>0.9025</v>
      </c>
      <c r="E28" s="34" t="n">
        <f aca="false">ABS(D28-C28)</f>
        <v>0</v>
      </c>
      <c r="F28" s="12" t="str">
        <f aca="false">IF(E28&lt;=0.000001*MAX(1,ABS(C28)),"OK","CHECK")</f>
        <v>OK</v>
      </c>
    </row>
    <row r="29" customFormat="false" ht="15" hidden="false" customHeight="false" outlineLevel="0" collapsed="false">
      <c r="A29" s="12" t="s">
        <v>449</v>
      </c>
      <c r="B29" s="12" t="s">
        <v>225</v>
      </c>
      <c r="C29" s="47" t="n">
        <v>0.2</v>
      </c>
      <c r="D29" s="48" t="n">
        <f aca="false">KPIs!H14</f>
        <v>0.2</v>
      </c>
      <c r="E29" s="34" t="n">
        <f aca="false">ABS(D29-C29)</f>
        <v>0</v>
      </c>
      <c r="F29" s="12" t="str">
        <f aca="false">IF(E29&lt;=0.000001*MAX(1,ABS(C29)),"OK","CHECK")</f>
        <v>OK</v>
      </c>
    </row>
    <row r="30" customFormat="false" ht="15" hidden="false" customHeight="false" outlineLevel="0" collapsed="false">
      <c r="A30" s="12" t="s">
        <v>480</v>
      </c>
      <c r="B30" s="12" t="s">
        <v>213</v>
      </c>
      <c r="C30" s="47" t="n">
        <v>0.261123988501422</v>
      </c>
      <c r="D30" s="48" t="n">
        <f aca="false">KPIs!D15</f>
        <v>0.261123988501422</v>
      </c>
      <c r="E30" s="34" t="n">
        <f aca="false">ABS(D30-C30)</f>
        <v>0</v>
      </c>
      <c r="F30" s="12" t="str">
        <f aca="false">IF(E30&lt;=0.000001*MAX(1,ABS(C30)),"OK","CHECK")</f>
        <v>OK</v>
      </c>
    </row>
    <row r="31" customFormat="false" ht="15" hidden="false" customHeight="false" outlineLevel="0" collapsed="false">
      <c r="A31" s="12" t="s">
        <v>480</v>
      </c>
      <c r="B31" s="12" t="s">
        <v>209</v>
      </c>
      <c r="C31" s="47" t="n">
        <v>0.224597315208094</v>
      </c>
      <c r="D31" s="48" t="n">
        <f aca="false">KPIs!E15</f>
        <v>0.224597315208094</v>
      </c>
      <c r="E31" s="34" t="n">
        <f aca="false">ABS(D31-C31)</f>
        <v>0</v>
      </c>
      <c r="F31" s="12" t="str">
        <f aca="false">IF(E31&lt;=0.000001*MAX(1,ABS(C31)),"OK","CHECK")</f>
        <v>OK</v>
      </c>
    </row>
    <row r="32" customFormat="false" ht="15" hidden="false" customHeight="false" outlineLevel="0" collapsed="false">
      <c r="A32" s="12" t="s">
        <v>480</v>
      </c>
      <c r="B32" s="12" t="s">
        <v>218</v>
      </c>
      <c r="C32" s="47" t="n">
        <v>0.244296966949983</v>
      </c>
      <c r="D32" s="48" t="n">
        <f aca="false">KPIs!F15</f>
        <v>0.244296966949983</v>
      </c>
      <c r="E32" s="34" t="n">
        <f aca="false">ABS(D32-C32)</f>
        <v>0</v>
      </c>
      <c r="F32" s="12" t="str">
        <f aca="false">IF(E32&lt;=0.000001*MAX(1,ABS(C32)),"OK","CHECK")</f>
        <v>OK</v>
      </c>
    </row>
    <row r="33" customFormat="false" ht="15" hidden="false" customHeight="false" outlineLevel="0" collapsed="false">
      <c r="A33" s="12" t="s">
        <v>480</v>
      </c>
      <c r="B33" s="12" t="s">
        <v>221</v>
      </c>
      <c r="C33" s="47" t="n">
        <v>1.17</v>
      </c>
      <c r="D33" s="48" t="n">
        <f aca="false">KPIs!G15</f>
        <v>1.17</v>
      </c>
      <c r="E33" s="34" t="n">
        <f aca="false">ABS(D33-C33)</f>
        <v>0</v>
      </c>
      <c r="F33" s="12" t="str">
        <f aca="false">IF(E33&lt;=0.000001*MAX(1,ABS(C33)),"OK","CHECK")</f>
        <v>OK</v>
      </c>
    </row>
    <row r="34" customFormat="false" ht="15" hidden="false" customHeight="false" outlineLevel="0" collapsed="false">
      <c r="A34" s="12" t="s">
        <v>480</v>
      </c>
      <c r="B34" s="12" t="s">
        <v>225</v>
      </c>
      <c r="C34" s="47" t="n">
        <v>8.4</v>
      </c>
      <c r="D34" s="48" t="n">
        <f aca="false">KPIs!H15</f>
        <v>8.4</v>
      </c>
      <c r="E34" s="34" t="n">
        <f aca="false">ABS(D34-C34)</f>
        <v>0</v>
      </c>
      <c r="F34" s="12" t="str">
        <f aca="false">IF(E34&lt;=0.000001*MAX(1,ABS(C34)),"OK","CHECK")</f>
        <v>OK</v>
      </c>
    </row>
    <row r="35" customFormat="false" ht="15" hidden="false" customHeight="false" outlineLevel="0" collapsed="false">
      <c r="A35" s="12" t="s">
        <v>454</v>
      </c>
      <c r="B35" s="12" t="s">
        <v>213</v>
      </c>
      <c r="C35" s="47" t="n">
        <v>0.63308</v>
      </c>
      <c r="D35" s="48" t="n">
        <f aca="false">KPIs!D18</f>
        <v>0.63308</v>
      </c>
      <c r="E35" s="34" t="n">
        <f aca="false">ABS(D35-C35)</f>
        <v>0</v>
      </c>
      <c r="F35" s="12" t="str">
        <f aca="false">IF(E35&lt;=0.000001*MAX(1,ABS(C35)),"OK","CHECK")</f>
        <v>OK</v>
      </c>
    </row>
    <row r="36" customFormat="false" ht="15" hidden="false" customHeight="false" outlineLevel="0" collapsed="false">
      <c r="A36" s="12" t="s">
        <v>454</v>
      </c>
      <c r="B36" s="12" t="s">
        <v>209</v>
      </c>
      <c r="C36" s="47" t="n">
        <v>0.5586</v>
      </c>
      <c r="D36" s="48" t="n">
        <f aca="false">KPIs!E18</f>
        <v>0.5586</v>
      </c>
      <c r="E36" s="34" t="n">
        <f aca="false">ABS(D36-C36)</f>
        <v>0</v>
      </c>
      <c r="F36" s="12" t="str">
        <f aca="false">IF(E36&lt;=0.000001*MAX(1,ABS(C36)),"OK","CHECK")</f>
        <v>OK</v>
      </c>
    </row>
    <row r="37" customFormat="false" ht="15" hidden="false" customHeight="false" outlineLevel="0" collapsed="false">
      <c r="A37" s="12" t="s">
        <v>454</v>
      </c>
      <c r="B37" s="12" t="s">
        <v>218</v>
      </c>
      <c r="C37" s="47" t="n">
        <v>0.48412</v>
      </c>
      <c r="D37" s="48" t="n">
        <f aca="false">KPIs!F18</f>
        <v>0.48412</v>
      </c>
      <c r="E37" s="34" t="n">
        <f aca="false">ABS(D37-C37)</f>
        <v>0</v>
      </c>
      <c r="F37" s="12" t="str">
        <f aca="false">IF(E37&lt;=0.000001*MAX(1,ABS(C37)),"OK","CHECK")</f>
        <v>OK</v>
      </c>
    </row>
    <row r="38" customFormat="false" ht="15" hidden="false" customHeight="false" outlineLevel="0" collapsed="false">
      <c r="A38" s="12" t="s">
        <v>454</v>
      </c>
      <c r="B38" s="12" t="s">
        <v>221</v>
      </c>
      <c r="C38" s="47" t="n">
        <v>0.72</v>
      </c>
      <c r="D38" s="48" t="n">
        <f aca="false">KPIs!G18</f>
        <v>0.72</v>
      </c>
      <c r="E38" s="34" t="n">
        <f aca="false">ABS(D38-C38)</f>
        <v>0</v>
      </c>
      <c r="F38" s="12" t="str">
        <f aca="false">IF(E38&lt;=0.000001*MAX(1,ABS(C38)),"OK","CHECK")</f>
        <v>OK</v>
      </c>
    </row>
    <row r="39" customFormat="false" ht="15" hidden="false" customHeight="false" outlineLevel="0" collapsed="false">
      <c r="A39" s="12" t="s">
        <v>454</v>
      </c>
      <c r="B39" s="12" t="s">
        <v>225</v>
      </c>
      <c r="C39" s="47" t="n">
        <v>0.8</v>
      </c>
      <c r="D39" s="48" t="n">
        <f aca="false">KPIs!H18</f>
        <v>0.8</v>
      </c>
      <c r="E39" s="34" t="n">
        <f aca="false">ABS(D39-C39)</f>
        <v>0</v>
      </c>
      <c r="F39" s="12" t="str">
        <f aca="false">IF(E39&lt;=0.000001*MAX(1,ABS(C39)),"OK","CHECK")</f>
        <v>OK</v>
      </c>
    </row>
    <row r="40" customFormat="false" ht="15" hidden="false" customHeight="false" outlineLevel="0" collapsed="false">
      <c r="A40" s="12" t="s">
        <v>465</v>
      </c>
      <c r="B40" s="12" t="s">
        <v>213</v>
      </c>
      <c r="C40" s="47" t="n">
        <v>0.939235502486677</v>
      </c>
      <c r="D40" s="48" t="n">
        <f aca="false">KPIs!D30</f>
        <v>0.939235502486677</v>
      </c>
      <c r="E40" s="34" t="n">
        <f aca="false">ABS(D40-C40)</f>
        <v>0</v>
      </c>
      <c r="F40" s="12" t="str">
        <f aca="false">IF(E40&lt;=0.000001*MAX(1,ABS(C40)),"OK","CHECK")</f>
        <v>OK</v>
      </c>
    </row>
    <row r="41" customFormat="false" ht="15" hidden="false" customHeight="false" outlineLevel="0" collapsed="false">
      <c r="A41" s="12" t="s">
        <v>465</v>
      </c>
      <c r="B41" s="12" t="s">
        <v>209</v>
      </c>
      <c r="C41" s="47" t="n">
        <v>0.938637273184764</v>
      </c>
      <c r="D41" s="48" t="n">
        <f aca="false">KPIs!E30</f>
        <v>0.938637273184764</v>
      </c>
      <c r="E41" s="34" t="n">
        <f aca="false">ABS(D41-C41)</f>
        <v>0</v>
      </c>
      <c r="F41" s="12" t="str">
        <f aca="false">IF(E41&lt;=0.000001*MAX(1,ABS(C41)),"OK","CHECK")</f>
        <v>OK</v>
      </c>
    </row>
    <row r="42" customFormat="false" ht="15" hidden="false" customHeight="false" outlineLevel="0" collapsed="false">
      <c r="A42" s="12" t="s">
        <v>465</v>
      </c>
      <c r="B42" s="12" t="s">
        <v>218</v>
      </c>
      <c r="C42" s="47" t="n">
        <v>0.88936809977393</v>
      </c>
      <c r="D42" s="48" t="n">
        <f aca="false">KPIs!F30</f>
        <v>0.88936809977393</v>
      </c>
      <c r="E42" s="34" t="n">
        <f aca="false">ABS(D42-C42)</f>
        <v>0</v>
      </c>
      <c r="F42" s="12" t="str">
        <f aca="false">IF(E42&lt;=0.000001*MAX(1,ABS(C42)),"OK","CHECK")</f>
        <v>OK</v>
      </c>
    </row>
    <row r="43" customFormat="false" ht="15" hidden="false" customHeight="false" outlineLevel="0" collapsed="false">
      <c r="A43" s="12" t="s">
        <v>465</v>
      </c>
      <c r="B43" s="12" t="s">
        <v>221</v>
      </c>
      <c r="C43" s="47" t="n">
        <v>0.627279874731951</v>
      </c>
      <c r="D43" s="48" t="n">
        <f aca="false">KPIs!G30</f>
        <v>0.627279874731951</v>
      </c>
      <c r="E43" s="34" t="n">
        <f aca="false">ABS(D43-C43)</f>
        <v>0</v>
      </c>
      <c r="F43" s="12" t="str">
        <f aca="false">IF(E43&lt;=0.000001*MAX(1,ABS(C43)),"OK","CHECK")</f>
        <v>OK</v>
      </c>
    </row>
    <row r="44" customFormat="false" ht="15" hidden="false" customHeight="false" outlineLevel="0" collapsed="false">
      <c r="A44" s="12" t="s">
        <v>465</v>
      </c>
      <c r="B44" s="12" t="s">
        <v>225</v>
      </c>
      <c r="C44" s="47" t="n">
        <v>0.16125</v>
      </c>
      <c r="D44" s="48" t="n">
        <f aca="false">KPIs!H30</f>
        <v>0.16125</v>
      </c>
      <c r="E44" s="34" t="n">
        <f aca="false">ABS(D44-C44)</f>
        <v>0</v>
      </c>
      <c r="F44" s="12" t="str">
        <f aca="false">IF(E44&lt;=0.000001*MAX(1,ABS(C44)),"OK","CHECK")</f>
        <v>OK</v>
      </c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</row>
    <row r="46" customFormat="false" ht="15" hidden="false" customHeight="false" outlineLevel="0" collapsed="false">
      <c r="A46" s="6" t="s">
        <v>481</v>
      </c>
      <c r="B46" s="2"/>
      <c r="C46" s="6" t="str">
        <f aca="false">COUNTIF(F5:F44,"OK")&amp;" / "&amp;COUNTA(F5:F44)</f>
        <v>40 / 40</v>
      </c>
      <c r="D46" s="2"/>
      <c r="E46" s="2"/>
      <c r="F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2026-10-26T14:01:41Z</dcterms:created>
  <dc:creator>openpyxl</dc:creator>
  <dc:description/>
  <dc:language>en-US</dc:language>
  <cp:lastModifiedBy/>
  <dcterms:modified xsi:type="dcterms:W3CDTF">2026-10-26T14:01:41Z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